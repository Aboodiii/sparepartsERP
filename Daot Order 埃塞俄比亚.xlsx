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<sst xmlns="http://schemas.openxmlformats.org/spreadsheetml/2006/main" uniqueCount="282">
  <si>
    <t>Table 1</t>
  </si>
  <si>
    <t>图片Picture</t>
  </si>
  <si>
    <t>价格Price</t>
  </si>
  <si>
    <t>K2788</t>
  </si>
  <si>
    <t>BRAKE SHOE</t>
  </si>
  <si>
    <t>Outer diameter:200mm
width:37mm</t>
  </si>
  <si>
    <t>K2750</t>
  </si>
  <si>
    <t>Outer diameter: 180mm; width:27.8mm</t>
  </si>
  <si>
    <t>04495-0K160</t>
  </si>
  <si>
    <t>Outer diameter:294mm;width:
51.5mmTOYOTA</t>
  </si>
  <si>
    <t>04495-26240</t>
  </si>
  <si>
    <t>Outer diameter:253.8mm;width:51.6mm</t>
  </si>
  <si>
    <t>KD2701</t>
  </si>
  <si>
    <t>BRAKE PAD</t>
  </si>
  <si>
    <t>Length:112.2mm;Width:46.5mm;
Thickness: 16.5mm
TOYOTA YARIS ECHO PLATZ</t>
  </si>
  <si>
    <t>Asmico</t>
  </si>
  <si>
    <t>KD2718</t>
  </si>
  <si>
    <t>TOYOTA COROOLA 1992-1999
RAV4 1994-2000
CAMRY 4 1991-2000</t>
  </si>
  <si>
    <t>KD2726</t>
  </si>
  <si>
    <t>COROLLA 2001-2007
PREMIO 2001-2007
PRIUS 2003-2009
YARIS 2000-2005</t>
  </si>
  <si>
    <t>KD2772</t>
  </si>
  <si>
    <t>AVALON 2012-2018
CAMRY 2017-
COROLLA 2021-
RAV4 3 2006-2013</t>
  </si>
  <si>
    <t>KD2773</t>
  </si>
  <si>
    <t>RAV4 2005-2013
MARK X 2007-
PRIUS MPV ZXW4 2011-</t>
  </si>
  <si>
    <t>KD2776</t>
  </si>
  <si>
    <t>CAMRY 1990-1994
CARINA V 1987-1992
COROLLA 1985-1989
COROLLA 1989-1992</t>
  </si>
  <si>
    <t>=</t>
  </si>
  <si>
    <t>KD3717</t>
  </si>
  <si>
    <t>SUZUKI GRAND 1998-2003 2003-2006
Chevrolet 1998-2004</t>
  </si>
  <si>
    <t>KD3736</t>
  </si>
  <si>
    <t>FORD FUSION 2002-2012
FORD PUMA 1997-2002
MAZDA 2003-2007</t>
  </si>
  <si>
    <t>12361-54121 12361-54212</t>
  </si>
  <si>
    <t>ENGINE MOUNTING</t>
  </si>
  <si>
    <t>HILUX RN 65</t>
  </si>
  <si>
    <t>丰田标签</t>
  </si>
  <si>
    <t>=DISPIMG("ID_FB6EB59C5EDD4B16BC06D6B1818921AD",1)</t>
  </si>
  <si>
    <t>12361-54121</t>
  </si>
  <si>
    <t>12361-54143</t>
  </si>
  <si>
    <t>HILUX RN30 1978</t>
  </si>
  <si>
    <t>=DISPIMG("ID_78C83D971300488DB6774240A9912C22",1)</t>
  </si>
  <si>
    <t>12371-0D060</t>
  </si>
  <si>
    <t>COROLLA 2000-2008
COROLLA ALITS 2003-</t>
  </si>
  <si>
    <t>=DISPIMG("ID_97E021EB9F0547178A9674E2B359C1E2",1)</t>
  </si>
  <si>
    <t>12371-0L080</t>
  </si>
  <si>
    <t>FORTUNER 2005
VEGO AT 4WD</t>
  </si>
  <si>
    <t>12361-0L030</t>
  </si>
  <si>
    <t>HILUX 2004-</t>
  </si>
  <si>
    <t>=DISPIMG("ID_0C67B7DD533246B9A8106E981BBD3E2F",1)</t>
  </si>
  <si>
    <t>TO-004</t>
  </si>
  <si>
    <t>CV JOINT</t>
  </si>
  <si>
    <t>TOYOTA COROLLA</t>
  </si>
  <si>
    <t>HDK</t>
  </si>
  <si>
    <t>KEBO</t>
  </si>
  <si>
    <t>(32*56*26) TO-27</t>
  </si>
  <si>
    <t>TOYOTA HILUX YN&amp;</t>
  </si>
  <si>
    <t>(23*56*26) TO-04</t>
  </si>
  <si>
    <t>Toyota Corolla Nze120</t>
  </si>
  <si>
    <t>TO-83</t>
  </si>
  <si>
    <t>TO-02</t>
  </si>
  <si>
    <t>TOYOTA COROLLA
2000-2008</t>
  </si>
  <si>
    <t>47201-60A00</t>
  </si>
  <si>
    <t>BRAKE MASTER</t>
  </si>
  <si>
    <t>Land Cruiser 90-07</t>
  </si>
  <si>
    <t>carton packaging</t>
  </si>
  <si>
    <t>=DISPIMG("ID_4E019415563C4E858450DFF439B0A855",1)</t>
  </si>
  <si>
    <t>47201-52330-BGF</t>
  </si>
  <si>
    <t>Yaris 1999-2005</t>
  </si>
  <si>
    <t>=DISPIMG("ID_EDB49363F13649DD8278885218A94874",1)</t>
  </si>
  <si>
    <t>31420-0K013</t>
  </si>
  <si>
    <t>CLUTCH MASTER</t>
  </si>
  <si>
    <t>Hilux Vigo
06-15</t>
  </si>
  <si>
    <t>=DISPIMG("ID_58441F3E28D84AC09BD3D615CC713AB2",1)</t>
  </si>
  <si>
    <t>47550-0K010</t>
  </si>
  <si>
    <t>CYLINDER ASSY</t>
  </si>
  <si>
    <t>Hilux 2004-</t>
  </si>
  <si>
    <t>16100-29115</t>
  </si>
  <si>
    <t>WATER PUMP</t>
  </si>
  <si>
    <t>YARIS 1999-2005</t>
  </si>
  <si>
    <t>GMB</t>
  </si>
  <si>
    <t>16100-29155</t>
  </si>
  <si>
    <t>PRIUS 2000-2004
YARIS 1999-2005</t>
  </si>
  <si>
    <t>16100-09140</t>
  </si>
  <si>
    <t>16110-69045</t>
  </si>
  <si>
    <t>HIACE 1995-
Land Cruiser-Prado 1995-
2002-2010</t>
  </si>
  <si>
    <t>16100-39425</t>
  </si>
  <si>
    <t>HIACE 2004-HIACE V 2004-</t>
  </si>
  <si>
    <t>16100-19235</t>
  </si>
  <si>
    <t>COASTER BUS 1993-
Land Cruiser 1998-2008</t>
  </si>
  <si>
    <t>16110 19055</t>
  </si>
  <si>
    <t>Corolla E8 1983-1989
Corolla E9 1987-1994
Corolla E10 1992-1197
Corolla E8B 1984-1988</t>
  </si>
  <si>
    <t>What is the price for a belt pulley:68</t>
  </si>
  <si>
    <t>16100-09260</t>
  </si>
  <si>
    <t>Hilux Vigo 2004-2018</t>
  </si>
  <si>
    <t>R066/0282</t>
  </si>
  <si>
    <t>BEARING</t>
  </si>
  <si>
    <t>TOYOTA HIACE 2005</t>
  </si>
  <si>
    <t>KOYO</t>
  </si>
  <si>
    <t>R023</t>
  </si>
  <si>
    <t>toyota corolla 2000-2008</t>
  </si>
  <si>
    <t>43560-0D070</t>
  </si>
  <si>
    <t>YARIS 2010-2020</t>
  </si>
  <si>
    <t>43550-0D050</t>
  </si>
  <si>
    <t>YARIS 201-2019</t>
  </si>
  <si>
    <t>R033</t>
  </si>
  <si>
    <t>toyota corolla 2007-2014
Rav 4 2006-2008</t>
  </si>
  <si>
    <t>23301-54460/23303-54460</t>
  </si>
  <si>
    <t>FUEL FILTER CAP</t>
  </si>
  <si>
    <t>Toyota for Hilux for 4runner</t>
  </si>
  <si>
    <t>48725-26030</t>
  </si>
  <si>
    <t>BUSH</t>
  </si>
  <si>
    <t>Toyota GRANVIA Hiace RCH10,11,16</t>
  </si>
  <si>
    <t>RBI</t>
  </si>
  <si>
    <t>45535-0K010-R</t>
  </si>
  <si>
    <t>Boot, Steering Rack</t>
  </si>
  <si>
    <t>Toyota Vigo RH</t>
  </si>
  <si>
    <t>Regular packaging, can be paired with Toyota labels</t>
  </si>
  <si>
    <t>45536-0K010-L</t>
  </si>
  <si>
    <t>Boot,Steering Rack</t>
  </si>
  <si>
    <t>Toyota Vigo LH</t>
  </si>
  <si>
    <t>=DISPIMG("ID_DAAF94B036284DA3BE3810D1B83C4BDB",1)</t>
  </si>
  <si>
    <t>43447-0K020</t>
  </si>
  <si>
    <t>STABILIZER LINK</t>
  </si>
  <si>
    <t>Stabilizer Link</t>
  </si>
  <si>
    <t>43448-0K020</t>
  </si>
  <si>
    <t>BOOT STEERING RACK</t>
  </si>
  <si>
    <t>=DISPIMG("ID_108AFEDFB0AC489BAD68C0262019F8D1",1)</t>
  </si>
  <si>
    <t>45535-52050</t>
  </si>
  <si>
    <t>STEERING RACK</t>
  </si>
  <si>
    <t>Toyota Vigo</t>
  </si>
  <si>
    <t>=DISPIMG("ID_696F1ED404E8477EA4F61860186C5BD4",1)</t>
  </si>
  <si>
    <t>45535-26030</t>
  </si>
  <si>
    <t>LAND CRUISER Prado 2002-2010</t>
  </si>
  <si>
    <t>=DISPIMG("ID_B936A09471BE40A282FD392DDADBCD53",1)</t>
  </si>
  <si>
    <t>48609-0D080</t>
  </si>
  <si>
    <t>STRUT MOUNT</t>
  </si>
  <si>
    <t>VIOS NCP42 2002</t>
  </si>
  <si>
    <t>B2220</t>
  </si>
  <si>
    <t>SHOCKABSORBER</t>
  </si>
  <si>
    <t>TOKICO</t>
  </si>
  <si>
    <t>B3232</t>
  </si>
  <si>
    <t>Corolla 1997-2002 RH</t>
  </si>
  <si>
    <t>B3233</t>
  </si>
  <si>
    <t>Corolla 1997-2002 LH</t>
  </si>
  <si>
    <t>B3239</t>
  </si>
  <si>
    <t>Yairs 2005-2014 RH</t>
  </si>
  <si>
    <t>B3240</t>
  </si>
  <si>
    <t>Yairs 2005-2014 LH</t>
  </si>
  <si>
    <t>B3245</t>
  </si>
  <si>
    <t>Rav 4 2005-2013 RH</t>
  </si>
  <si>
    <t>B3246</t>
  </si>
  <si>
    <t>Rav 4 2005-2013 LH</t>
  </si>
  <si>
    <t>B3285-R</t>
  </si>
  <si>
    <t>RAV 4 2000-2005 RH</t>
  </si>
  <si>
    <t>B3286-L</t>
  </si>
  <si>
    <t>RAV 4 2000-2005 LH</t>
  </si>
  <si>
    <t>E20045</t>
  </si>
  <si>
    <t>Yaris 2013-2016</t>
  </si>
  <si>
    <t>E2949</t>
  </si>
  <si>
    <t>E2981</t>
  </si>
  <si>
    <t>Yairs 2011-2018</t>
  </si>
  <si>
    <t>90363-40066</t>
  </si>
  <si>
    <t>Avengers 1997-2003
Corolla 2003-2007
Prius 2001-2005</t>
  </si>
  <si>
    <t>90369-38022 DAC3871W-3CS63</t>
  </si>
  <si>
    <t>90369-38006</t>
  </si>
  <si>
    <t>BEANING</t>
  </si>
  <si>
    <t>Pasco 1991-1999
Corolla Tercel 1993-1999</t>
  </si>
  <si>
    <t>90369-38003</t>
  </si>
  <si>
    <t>Toyotao Camry 1986-1993</t>
  </si>
  <si>
    <t>90043-63213</t>
  </si>
  <si>
    <t>For DAIHATSU</t>
  </si>
  <si>
    <t>DAC3871W-3CS63 90369-38022</t>
  </si>
  <si>
    <t>DG4094W-12RSHR
90363-40071</t>
  </si>
  <si>
    <t>HIACE 2004-</t>
  </si>
  <si>
    <t>90369 T0003</t>
  </si>
  <si>
    <t>Toyota Hilux 2004
Land cruiser 2002-2010</t>
  </si>
  <si>
    <t>43560-26010</t>
  </si>
  <si>
    <t>Toyota Hiace 1995-</t>
  </si>
  <si>
    <t>48820-42020</t>
  </si>
  <si>
    <t>STABILIZER LINK SSY,</t>
  </si>
  <si>
    <t>Rav 4 2000-2005</t>
  </si>
  <si>
    <t>48820-0K010</t>
  </si>
  <si>
    <t>Hilux 2004-
Hilux Vigo 2WD</t>
  </si>
  <si>
    <t>48820-0K030</t>
  </si>
  <si>
    <t>VIGO 4WD
2002-2012</t>
  </si>
  <si>
    <t>48820-20010</t>
  </si>
  <si>
    <t>Land cruiser 2002-2010</t>
  </si>
  <si>
    <t>48820-0D020R</t>
  </si>
  <si>
    <t>Toyota Yaris</t>
  </si>
  <si>
    <t>48810-20020-CTT</t>
  </si>
  <si>
    <t>Toyota Avengers 1997-2003 LH</t>
  </si>
  <si>
    <t>48820-20040-R</t>
  </si>
  <si>
    <t>Toyota Avengers 1997-2003 RH</t>
  </si>
  <si>
    <t>48820-42030</t>
  </si>
  <si>
    <t>Prius Auris</t>
  </si>
  <si>
    <t>48830-42010-R</t>
  </si>
  <si>
    <t>Toyota</t>
  </si>
  <si>
    <t>43340-39315</t>
  </si>
  <si>
    <t>JOINT</t>
  </si>
  <si>
    <t>Toyota Prius 2010-2013
Corolla saloon 2006-
Corolla saloon 2013-Rav4 2005-2013</t>
  </si>
  <si>
    <t>CTR</t>
  </si>
  <si>
    <t>43310-60050</t>
  </si>
  <si>
    <t>BALL JOINT</t>
  </si>
  <si>
    <t>Land cruiser Prado 2002-2010</t>
  </si>
  <si>
    <t>43310-09015</t>
  </si>
  <si>
    <t>Hilux Vigo 2004-</t>
  </si>
  <si>
    <t>45503-19075-CTT</t>
  </si>
  <si>
    <t>RACK END</t>
  </si>
  <si>
    <t>for Toyota Starlet</t>
  </si>
  <si>
    <t>4745503-59045</t>
  </si>
  <si>
    <t>48802-60120</t>
  </si>
  <si>
    <t>FAtT</t>
  </si>
  <si>
    <t>LAND CRUISER 1990-1999</t>
  </si>
  <si>
    <t>45503-39265</t>
  </si>
  <si>
    <t>LAND CRUISER 2002-2010</t>
  </si>
  <si>
    <t>45503-60040</t>
  </si>
  <si>
    <t>45046-09281</t>
  </si>
  <si>
    <t>Hilux
2004-</t>
  </si>
  <si>
    <t>48810-0K010</t>
  </si>
  <si>
    <t>STABILIZER LINK SSY</t>
  </si>
  <si>
    <t>45503-29565</t>
  </si>
  <si>
    <t>Hiace
95-06</t>
  </si>
  <si>
    <t>48810-26010</t>
  </si>
  <si>
    <t>Hiace 1989/08-2006</t>
  </si>
  <si>
    <t>48810-26020</t>
  </si>
  <si>
    <t>Hiace 1995-</t>
  </si>
  <si>
    <t>90915-30002</t>
  </si>
  <si>
    <t>Oil filter</t>
  </si>
  <si>
    <t>Corolla Hiace Hilux V LAND CRUISER</t>
  </si>
  <si>
    <t>丰田</t>
  </si>
  <si>
    <t>90915-YZZD2</t>
  </si>
  <si>
    <t>Corolla 4 Runner Camry Hiace Hilux</t>
  </si>
  <si>
    <t>90915-YZZE1</t>
  </si>
  <si>
    <t>Haice Camry Corolla Rav4 Yairs</t>
  </si>
  <si>
    <t>90915-TD001</t>
  </si>
  <si>
    <t>23390-64480</t>
  </si>
  <si>
    <t>Fuel filter</t>
  </si>
  <si>
    <t>Corolla RAV4 Land Cruiser Hiace</t>
  </si>
  <si>
    <t>23390-64010</t>
  </si>
  <si>
    <t>Corolla Land Cruiser Hiace</t>
  </si>
  <si>
    <t>23390-0L070</t>
  </si>
  <si>
    <t>Hilux Revo 2015-</t>
  </si>
  <si>
    <t>37230-0K021</t>
  </si>
  <si>
    <t>CENTER BEARING</t>
  </si>
  <si>
    <t>Hilux 2004</t>
  </si>
  <si>
    <t>37230-26030</t>
  </si>
  <si>
    <t>90389-14007-R</t>
  </si>
  <si>
    <t>Toyota LH112,LH60,TIGER</t>
  </si>
  <si>
    <t>48654-0K010</t>
  </si>
  <si>
    <t>Toyota Hilux 2004-</t>
  </si>
  <si>
    <t>48655-0K010-R</t>
  </si>
  <si>
    <t>48655-20140</t>
  </si>
  <si>
    <t>Avengers 1997-2003-2008</t>
  </si>
  <si>
    <t>48706-60070</t>
  </si>
  <si>
    <t>LAND CRUISER 1980-1991
LAND CRUISER Prado 1998-2008</t>
  </si>
  <si>
    <t>48061-60050</t>
  </si>
  <si>
    <t>Land Cruiser Prado</t>
  </si>
  <si>
    <t>48655-0K080-JBSP</t>
  </si>
  <si>
    <t>HILUX VIII 2015-</t>
  </si>
  <si>
    <t>41651-26070</t>
  </si>
  <si>
    <t>Yaris 2014-</t>
  </si>
  <si>
    <t>48654-0D120</t>
  </si>
  <si>
    <t>48725-0D070</t>
  </si>
  <si>
    <t>Yaris 2002-2005 / 2005-2011</t>
  </si>
  <si>
    <t>48635-26010</t>
  </si>
  <si>
    <t>HILUX V Pickup 1988-1999 / 1983-2005</t>
  </si>
  <si>
    <t>48635-26080</t>
  </si>
  <si>
    <t>48632-26010</t>
  </si>
  <si>
    <t>Hiace 1982-1989</t>
  </si>
  <si>
    <t>486061-26010</t>
  </si>
  <si>
    <t>48655-0D051</t>
  </si>
  <si>
    <t>Yaris CP10 2005-2010</t>
  </si>
  <si>
    <t>90389-14004</t>
  </si>
  <si>
    <t>Hilux 2004- / Hiace 2005-</t>
  </si>
  <si>
    <t>48725-26020</t>
  </si>
  <si>
    <t>Toyota GRANVIA RCH10,11,16</t>
  </si>
  <si>
    <t>48655-0D060</t>
  </si>
  <si>
    <t>Yaris 2005-</t>
  </si>
  <si>
    <t>48655-12170</t>
  </si>
  <si>
    <t>Altis ZZE121,122 BIG</t>
  </si>
  <si>
    <t>90389-14007</t>
  </si>
  <si>
    <t>Toyota LH112,LH60 TIGER</t>
  </si>
  <si>
    <t>6476895birr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</si>
</sst>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￥&quot;#,##0.00&quot; &quot;;&quot;(￥&quot;#,##0.00)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宋体"/>
    </font>
    <font>
      <sz val="12"/>
      <color indexed="8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59" fontId="1" fillId="2" borderId="2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vertical="top" wrapText="1"/>
    </xf>
    <xf numFmtId="0" fontId="4" fillId="3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5" fillId="2" borderId="9" applyNumberFormat="1" applyFont="1" applyFill="1" applyBorder="1" applyAlignment="1" applyProtection="0">
      <alignment horizontal="center" vertical="center" wrapText="1"/>
    </xf>
    <xf numFmtId="49" fontId="5" fillId="2" borderId="10" applyNumberFormat="1" applyFont="1" applyFill="1" applyBorder="1" applyAlignment="1" applyProtection="0">
      <alignment horizontal="center" vertical="center" wrapText="1"/>
    </xf>
    <xf numFmtId="49" fontId="5" fillId="2" borderId="11" applyNumberFormat="1" applyFont="1" applyFill="1" applyBorder="1" applyAlignment="1" applyProtection="0">
      <alignment horizontal="center" vertical="center" wrapText="1"/>
    </xf>
    <xf numFmtId="0" fontId="5" fillId="2" borderId="11" applyNumberFormat="1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top" wrapText="1"/>
    </xf>
    <xf numFmtId="59" fontId="0" fillId="2" borderId="11" applyNumberFormat="1" applyFont="1" applyFill="1" applyBorder="1" applyAlignment="1" applyProtection="0">
      <alignment vertical="top" wrapText="1"/>
    </xf>
    <xf numFmtId="0" fontId="5" fillId="2" borderId="12" applyNumberFormat="1" applyFont="1" applyFill="1" applyBorder="1" applyAlignment="1" applyProtection="0">
      <alignment horizontal="center" vertical="center" wrapText="1"/>
    </xf>
    <xf numFmtId="49" fontId="5" fillId="2" borderId="13" applyNumberFormat="1" applyFont="1" applyFill="1" applyBorder="1" applyAlignment="1" applyProtection="0">
      <alignment horizontal="center" vertical="center" wrapText="1"/>
    </xf>
    <xf numFmtId="49" fontId="5" fillId="2" borderId="14" applyNumberFormat="1" applyFont="1" applyFill="1" applyBorder="1" applyAlignment="1" applyProtection="0">
      <alignment horizontal="center" vertical="center" wrapText="1"/>
    </xf>
    <xf numFmtId="0" fontId="5" fillId="2" borderId="14" applyNumberFormat="1" applyFont="1" applyFill="1" applyBorder="1" applyAlignment="1" applyProtection="0">
      <alignment horizontal="center" vertical="center" wrapText="1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14" applyNumberFormat="0" applyFont="1" applyFill="1" applyBorder="1" applyAlignment="1" applyProtection="0">
      <alignment vertical="top" wrapText="1"/>
    </xf>
    <xf numFmtId="59" fontId="0" fillId="2" borderId="14" applyNumberFormat="1" applyFont="1" applyFill="1" applyBorder="1" applyAlignment="1" applyProtection="0">
      <alignment vertical="top" wrapText="1"/>
    </xf>
    <xf numFmtId="0" fontId="3" fillId="2" borderId="12" applyNumberFormat="1" applyFont="1" applyFill="1" applyBorder="1" applyAlignment="1" applyProtection="0">
      <alignment horizontal="center" vertical="center" wrapText="1"/>
    </xf>
    <xf numFmtId="49" fontId="0" fillId="2" borderId="14" applyNumberFormat="1" applyFont="1" applyFill="1" applyBorder="1" applyAlignment="1" applyProtection="0">
      <alignment vertical="center" wrapText="1"/>
    </xf>
    <xf numFmtId="0" fontId="4" fillId="2" borderId="6" applyNumberFormat="0" applyFont="1" applyFill="1" applyBorder="1" applyAlignment="1" applyProtection="0">
      <alignment horizontal="center" vertical="center" wrapText="1"/>
    </xf>
    <xf numFmtId="0" fontId="3" fillId="2" borderId="12" applyNumberFormat="0" applyFont="1" applyFill="1" applyBorder="1" applyAlignment="1" applyProtection="0">
      <alignment horizontal="center" vertical="center" wrapText="1"/>
    </xf>
    <xf numFmtId="49" fontId="5" fillId="2" borderId="12" applyNumberFormat="1" applyFont="1" applyFill="1" applyBorder="1" applyAlignment="1" applyProtection="0">
      <alignment horizontal="center" vertical="center" wrapText="1"/>
    </xf>
    <xf numFmtId="0" fontId="0" fillId="2" borderId="14" applyNumberFormat="1" applyFont="1" applyFill="1" applyBorder="1" applyAlignment="1" applyProtection="0">
      <alignment vertical="center" wrapText="1"/>
    </xf>
    <xf numFmtId="49" fontId="4" fillId="2" borderId="14" applyNumberFormat="1" applyFont="1" applyFill="1" applyBorder="1" applyAlignment="1" applyProtection="0">
      <alignment horizontal="center" vertical="center" wrapText="1"/>
    </xf>
    <xf numFmtId="49" fontId="0" fillId="2" borderId="14" applyNumberFormat="1" applyFont="1" applyFill="1" applyBorder="1" applyAlignment="1" applyProtection="0">
      <alignment vertical="top" wrapText="1"/>
    </xf>
    <xf numFmtId="49" fontId="0" fillId="2" borderId="15" applyNumberFormat="1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center" wrapText="1"/>
    </xf>
    <xf numFmtId="49" fontId="4" fillId="2" borderId="14" applyNumberFormat="1" applyFont="1" applyFill="1" applyBorder="1" applyAlignment="1" applyProtection="0">
      <alignment vertical="top" wrapText="1"/>
    </xf>
    <xf numFmtId="49" fontId="0" fillId="2" borderId="17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horizontal="center" vertical="center" wrapText="1"/>
    </xf>
    <xf numFmtId="0" fontId="0" fillId="4" borderId="14" applyNumberFormat="0" applyFont="1" applyFill="1" applyBorder="1" applyAlignment="1" applyProtection="0">
      <alignment horizontal="center" vertical="center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3" fillId="5" borderId="12" applyNumberFormat="1" applyFont="1" applyFill="1" applyBorder="1" applyAlignment="1" applyProtection="0">
      <alignment horizontal="center" vertical="center" wrapText="1"/>
    </xf>
    <xf numFmtId="49" fontId="0" fillId="2" borderId="13" applyNumberFormat="1" applyFont="1" applyFill="1" applyBorder="1" applyAlignment="1" applyProtection="0">
      <alignment vertical="center" wrapText="1"/>
    </xf>
    <xf numFmtId="0" fontId="3" fillId="5" borderId="12" applyNumberFormat="0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0" fontId="5" fillId="2" borderId="12" applyNumberFormat="0" applyFont="1" applyFill="1" applyBorder="1" applyAlignment="1" applyProtection="0">
      <alignment horizontal="center" vertical="center" wrapText="1"/>
    </xf>
    <xf numFmtId="0" fontId="5" fillId="2" borderId="13" applyNumberFormat="0" applyFont="1" applyFill="1" applyBorder="1" applyAlignment="1" applyProtection="0">
      <alignment horizontal="center" vertical="center" wrapText="1"/>
    </xf>
    <xf numFmtId="0" fontId="5" fillId="2" borderId="14" applyNumberFormat="0" applyFont="1" applyFill="1" applyBorder="1" applyAlignment="1" applyProtection="0">
      <alignment horizontal="center" vertical="center" wrapText="1"/>
    </xf>
    <xf numFmtId="0" fontId="0" fillId="2" borderId="21" applyNumberFormat="0" applyFont="1" applyFill="1" applyBorder="1" applyAlignment="1" applyProtection="0">
      <alignment vertical="center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ff0000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jpeg"/><Relationship Id="rId4" Type="http://schemas.openxmlformats.org/officeDocument/2006/relationships/image" Target="../media/image3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341472</xdr:colOff>
      <xdr:row>37</xdr:row>
      <xdr:rowOff>276225</xdr:rowOff>
    </xdr:from>
    <xdr:to>
      <xdr:col>12</xdr:col>
      <xdr:colOff>553561</xdr:colOff>
      <xdr:row>41</xdr:row>
      <xdr:rowOff>405130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6076772" y="20887055"/>
          <a:ext cx="2701290" cy="24149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135097</xdr:colOff>
      <xdr:row>53</xdr:row>
      <xdr:rowOff>137795</xdr:rowOff>
    </xdr:from>
    <xdr:to>
      <xdr:col>13</xdr:col>
      <xdr:colOff>946625</xdr:colOff>
      <xdr:row>57</xdr:row>
      <xdr:rowOff>506727</xdr:rowOff>
    </xdr:to>
    <xdr:pic>
      <xdr:nvPicPr>
        <xdr:cNvPr id="3" name="图片 2" descr="图片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5870397" y="29892625"/>
          <a:ext cx="4545329" cy="265493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326231</xdr:colOff>
      <xdr:row>64</xdr:row>
      <xdr:rowOff>204470</xdr:rowOff>
    </xdr:from>
    <xdr:to>
      <xdr:col>12</xdr:col>
      <xdr:colOff>538322</xdr:colOff>
      <xdr:row>68</xdr:row>
      <xdr:rowOff>333373</xdr:rowOff>
    </xdr:to>
    <xdr:pic>
      <xdr:nvPicPr>
        <xdr:cNvPr id="4" name="图片 3" descr="图片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6061531" y="36245800"/>
          <a:ext cx="2701292" cy="241490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7461</xdr:colOff>
      <xdr:row>3</xdr:row>
      <xdr:rowOff>36830</xdr:rowOff>
    </xdr:from>
    <xdr:to>
      <xdr:col>13</xdr:col>
      <xdr:colOff>264000</xdr:colOff>
      <xdr:row>11</xdr:row>
      <xdr:rowOff>186055</xdr:rowOff>
    </xdr:to>
    <xdr:pic>
      <xdr:nvPicPr>
        <xdr:cNvPr id="5" name="图片 4" descr="图片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5742761" y="1216660"/>
          <a:ext cx="3990340" cy="47212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240506</xdr:colOff>
      <xdr:row>20</xdr:row>
      <xdr:rowOff>19050</xdr:rowOff>
    </xdr:from>
    <xdr:to>
      <xdr:col>12</xdr:col>
      <xdr:colOff>520541</xdr:colOff>
      <xdr:row>24</xdr:row>
      <xdr:rowOff>238125</xdr:rowOff>
    </xdr:to>
    <xdr:pic>
      <xdr:nvPicPr>
        <xdr:cNvPr id="6" name="图片 6" descr="图片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5975806" y="10914380"/>
          <a:ext cx="2769236" cy="25050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185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30.6719" style="1" customWidth="1"/>
    <col min="3" max="3" width="27.6719" style="1" customWidth="1"/>
    <col min="4" max="4" width="34.5" style="1" customWidth="1"/>
    <col min="5" max="7" width="16.3516" style="1" customWidth="1"/>
    <col min="8" max="9" width="16.0625" style="1" customWidth="1"/>
    <col min="10" max="14" width="16.3516" style="1" customWidth="1"/>
    <col min="15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4"/>
      <c r="I1" s="5"/>
      <c r="J1" s="3"/>
      <c r="K1" s="6"/>
      <c r="L1" s="7"/>
      <c r="M1" s="7"/>
      <c r="N1" s="8"/>
    </row>
    <row r="2" ht="20.25" customHeight="1">
      <c r="A2" s="9"/>
      <c r="B2" s="9"/>
      <c r="C2" s="9"/>
      <c r="D2" s="9"/>
      <c r="E2" s="9"/>
      <c r="F2" s="9"/>
      <c r="G2" t="s" s="10">
        <v>1</v>
      </c>
      <c r="H2" t="s" s="10">
        <v>2</v>
      </c>
      <c r="I2" s="11"/>
      <c r="J2" s="11"/>
      <c r="K2" s="12"/>
      <c r="L2" s="13"/>
      <c r="M2" s="13"/>
      <c r="N2" s="14"/>
    </row>
    <row r="3" ht="45" customHeight="1">
      <c r="A3" s="15">
        <v>1</v>
      </c>
      <c r="B3" t="s" s="16">
        <v>3</v>
      </c>
      <c r="C3" t="s" s="17">
        <v>4</v>
      </c>
      <c r="D3" t="s" s="17">
        <v>5</v>
      </c>
      <c r="E3" s="18">
        <v>200</v>
      </c>
      <c r="F3" s="19"/>
      <c r="G3" s="20"/>
      <c r="H3" s="21"/>
      <c r="I3" s="21" cm="1">
        <f t="array" ref="I3">PRODUCT(E3*H3)</f>
        <v>0</v>
      </c>
      <c r="J3" s="20"/>
      <c r="K3" s="12"/>
      <c r="L3" s="13"/>
      <c r="M3" s="13"/>
      <c r="N3" s="14"/>
    </row>
    <row r="4" ht="45" customHeight="1">
      <c r="A4" s="22">
        <v>2</v>
      </c>
      <c r="B4" t="s" s="23">
        <v>6</v>
      </c>
      <c r="C4" t="s" s="24">
        <v>4</v>
      </c>
      <c r="D4" t="s" s="24">
        <v>7</v>
      </c>
      <c r="E4" s="25">
        <v>80</v>
      </c>
      <c r="F4" s="26"/>
      <c r="G4" s="27"/>
      <c r="H4" s="28"/>
      <c r="I4" s="28" cm="1">
        <f t="array" ref="I4">PRODUCT(E4*H4)</f>
        <v>0</v>
      </c>
      <c r="J4" s="27"/>
      <c r="K4" s="12"/>
      <c r="L4" s="13"/>
      <c r="M4" s="13"/>
      <c r="N4" s="14"/>
    </row>
    <row r="5" ht="45" customHeight="1">
      <c r="A5" s="29">
        <v>3</v>
      </c>
      <c r="B5" t="s" s="23">
        <v>8</v>
      </c>
      <c r="C5" t="s" s="24">
        <v>4</v>
      </c>
      <c r="D5" t="s" s="24">
        <v>9</v>
      </c>
      <c r="E5" s="25">
        <v>100</v>
      </c>
      <c r="F5" s="26"/>
      <c r="G5" s="27"/>
      <c r="H5" s="28"/>
      <c r="I5" s="28" cm="1">
        <f t="array" ref="I5">PRODUCT(E5*H5)</f>
        <v>0</v>
      </c>
      <c r="J5" s="27"/>
      <c r="K5" s="12"/>
      <c r="L5" s="13"/>
      <c r="M5" s="13"/>
      <c r="N5" s="14"/>
    </row>
    <row r="6" ht="45" customHeight="1">
      <c r="A6" s="29">
        <v>4</v>
      </c>
      <c r="B6" t="s" s="23">
        <v>10</v>
      </c>
      <c r="C6" t="s" s="24">
        <v>4</v>
      </c>
      <c r="D6" t="s" s="24">
        <v>11</v>
      </c>
      <c r="E6" s="25">
        <v>100</v>
      </c>
      <c r="F6" s="26"/>
      <c r="G6" s="27"/>
      <c r="H6" s="28"/>
      <c r="I6" s="28" cm="1">
        <f t="array" ref="I6">PRODUCT(E6*H6)</f>
        <v>0</v>
      </c>
      <c r="J6" s="27"/>
      <c r="K6" s="12"/>
      <c r="L6" s="13"/>
      <c r="M6" s="13"/>
      <c r="N6" s="14"/>
    </row>
    <row r="7" ht="45" customHeight="1">
      <c r="A7" s="29">
        <v>5</v>
      </c>
      <c r="B7" t="s" s="23">
        <v>12</v>
      </c>
      <c r="C7" t="s" s="24">
        <v>13</v>
      </c>
      <c r="D7" t="s" s="24">
        <v>14</v>
      </c>
      <c r="E7" s="25">
        <v>200</v>
      </c>
      <c r="F7" t="s" s="30">
        <v>15</v>
      </c>
      <c r="G7" s="27"/>
      <c r="H7" s="28">
        <v>21</v>
      </c>
      <c r="I7" s="28" cm="1">
        <f t="array" ref="I7">PRODUCT(E7*H7)</f>
        <v>4200</v>
      </c>
      <c r="J7" s="27"/>
      <c r="K7" s="31"/>
      <c r="L7" s="13"/>
      <c r="M7" s="13"/>
      <c r="N7" s="14"/>
    </row>
    <row r="8" ht="45" customHeight="1">
      <c r="A8" s="22">
        <v>6</v>
      </c>
      <c r="B8" t="s" s="23">
        <v>16</v>
      </c>
      <c r="C8" t="s" s="24">
        <v>13</v>
      </c>
      <c r="D8" t="s" s="24">
        <v>17</v>
      </c>
      <c r="E8" s="25">
        <v>100</v>
      </c>
      <c r="F8" t="s" s="30">
        <v>15</v>
      </c>
      <c r="G8" s="27"/>
      <c r="H8" s="28">
        <v>25</v>
      </c>
      <c r="I8" s="28" cm="1">
        <f t="array" ref="I8">PRODUCT(E8*H8)</f>
        <v>2500</v>
      </c>
      <c r="J8" s="27"/>
      <c r="K8" s="31"/>
      <c r="L8" s="13"/>
      <c r="M8" s="13"/>
      <c r="N8" s="14"/>
    </row>
    <row r="9" ht="45" customHeight="1">
      <c r="A9" s="32"/>
      <c r="B9" t="s" s="23">
        <v>18</v>
      </c>
      <c r="C9" t="s" s="24">
        <v>13</v>
      </c>
      <c r="D9" t="s" s="24">
        <v>19</v>
      </c>
      <c r="E9" s="25">
        <v>150</v>
      </c>
      <c r="F9" t="s" s="30">
        <v>15</v>
      </c>
      <c r="G9" s="27"/>
      <c r="H9" s="28">
        <v>21</v>
      </c>
      <c r="I9" s="28" cm="1">
        <f t="array" ref="I9">PRODUCT(E9*H9)</f>
        <v>3150</v>
      </c>
      <c r="J9" s="27"/>
      <c r="K9" s="31"/>
      <c r="L9" s="13"/>
      <c r="M9" s="13"/>
      <c r="N9" s="14"/>
    </row>
    <row r="10" ht="45" customHeight="1">
      <c r="A10" s="22">
        <v>8</v>
      </c>
      <c r="B10" t="s" s="23">
        <v>20</v>
      </c>
      <c r="C10" t="s" s="24">
        <v>13</v>
      </c>
      <c r="D10" t="s" s="24">
        <v>21</v>
      </c>
      <c r="E10" s="25">
        <v>200</v>
      </c>
      <c r="F10" t="s" s="30">
        <v>15</v>
      </c>
      <c r="G10" s="27"/>
      <c r="H10" s="28">
        <v>19.5</v>
      </c>
      <c r="I10" s="28" cm="1">
        <f t="array" ref="I10">PRODUCT(E10*H10)</f>
        <v>3900</v>
      </c>
      <c r="J10" s="27"/>
      <c r="K10" s="31"/>
      <c r="L10" s="13"/>
      <c r="M10" s="13"/>
      <c r="N10" s="14"/>
    </row>
    <row r="11" ht="45" customHeight="1">
      <c r="A11" s="22">
        <v>9</v>
      </c>
      <c r="B11" t="s" s="23">
        <v>22</v>
      </c>
      <c r="C11" t="s" s="24">
        <v>13</v>
      </c>
      <c r="D11" t="s" s="24">
        <v>23</v>
      </c>
      <c r="E11" s="25">
        <v>100</v>
      </c>
      <c r="F11" t="s" s="30">
        <v>15</v>
      </c>
      <c r="G11" s="27"/>
      <c r="H11" s="28">
        <v>25.5</v>
      </c>
      <c r="I11" s="28" cm="1">
        <f t="array" ref="I11">PRODUCT(E11*H11)</f>
        <v>2550</v>
      </c>
      <c r="J11" s="27"/>
      <c r="K11" s="31"/>
      <c r="L11" s="13"/>
      <c r="M11" s="13"/>
      <c r="N11" s="14"/>
    </row>
    <row r="12" ht="45" customHeight="1">
      <c r="A12" s="22">
        <v>10</v>
      </c>
      <c r="B12" t="s" s="23">
        <v>24</v>
      </c>
      <c r="C12" t="s" s="24">
        <v>13</v>
      </c>
      <c r="D12" t="s" s="24">
        <v>25</v>
      </c>
      <c r="E12" s="25">
        <v>200</v>
      </c>
      <c r="F12" t="s" s="30">
        <v>15</v>
      </c>
      <c r="G12" s="27"/>
      <c r="H12" s="28">
        <v>20.5</v>
      </c>
      <c r="I12" s="28" cm="1">
        <f t="array" ref="I12">PRODUCT(E12*H12)</f>
        <v>4100</v>
      </c>
      <c r="J12" s="27"/>
      <c r="K12" s="31"/>
      <c r="L12" s="13"/>
      <c r="M12" s="13"/>
      <c r="N12" s="14"/>
    </row>
    <row r="13" ht="45" customHeight="1">
      <c r="A13" t="s" s="33">
        <v>26</v>
      </c>
      <c r="B13" t="s" s="23">
        <v>27</v>
      </c>
      <c r="C13" t="s" s="24">
        <v>13</v>
      </c>
      <c r="D13" t="s" s="24">
        <v>28</v>
      </c>
      <c r="E13" s="25">
        <v>80</v>
      </c>
      <c r="F13" t="s" s="30">
        <v>15</v>
      </c>
      <c r="G13" s="27"/>
      <c r="H13" s="28">
        <v>20.5</v>
      </c>
      <c r="I13" s="28" cm="1">
        <f t="array" ref="I13">PRODUCT(E13*H13)</f>
        <v>1640</v>
      </c>
      <c r="J13" s="27"/>
      <c r="K13" s="31"/>
      <c r="L13" s="13"/>
      <c r="M13" s="13"/>
      <c r="N13" s="14"/>
    </row>
    <row r="14" ht="45" customHeight="1">
      <c r="A14" s="22">
        <v>12</v>
      </c>
      <c r="B14" t="s" s="23">
        <v>29</v>
      </c>
      <c r="C14" t="s" s="24">
        <v>13</v>
      </c>
      <c r="D14" t="s" s="24">
        <v>30</v>
      </c>
      <c r="E14" s="25">
        <v>100</v>
      </c>
      <c r="F14" t="s" s="30">
        <v>15</v>
      </c>
      <c r="G14" s="27"/>
      <c r="H14" s="28">
        <v>27</v>
      </c>
      <c r="I14" s="28" cm="1">
        <f t="array" ref="I14">PRODUCT(E14*H14)</f>
        <v>2700</v>
      </c>
      <c r="J14" s="27"/>
      <c r="K14" s="31"/>
      <c r="L14" s="13"/>
      <c r="M14" s="13"/>
      <c r="N14" s="14"/>
    </row>
    <row r="15" ht="45" customHeight="1">
      <c r="A15" s="32"/>
      <c r="B15" t="s" s="23">
        <v>31</v>
      </c>
      <c r="C15" t="s" s="24">
        <v>32</v>
      </c>
      <c r="D15" t="s" s="24">
        <v>33</v>
      </c>
      <c r="E15" s="34">
        <v>20</v>
      </c>
      <c r="F15" t="s" s="35">
        <v>34</v>
      </c>
      <c r="G15" t="s" s="36">
        <v>35</v>
      </c>
      <c r="H15" s="28">
        <v>20</v>
      </c>
      <c r="I15" s="28" cm="1">
        <f t="array" ref="I15">PRODUCT(E15*H15)</f>
        <v>400</v>
      </c>
      <c r="J15" s="27"/>
      <c r="K15" s="31"/>
      <c r="L15" s="13"/>
      <c r="M15" s="13"/>
      <c r="N15" s="14"/>
    </row>
    <row r="16" ht="45" customHeight="1">
      <c r="A16" s="22">
        <v>14</v>
      </c>
      <c r="B16" t="s" s="23">
        <v>36</v>
      </c>
      <c r="C16" t="s" s="24">
        <v>32</v>
      </c>
      <c r="D16" t="s" s="24">
        <v>33</v>
      </c>
      <c r="E16" s="25">
        <v>50</v>
      </c>
      <c r="F16" t="s" s="35">
        <v>34</v>
      </c>
      <c r="G16" s="27"/>
      <c r="H16" s="28">
        <v>20</v>
      </c>
      <c r="I16" s="28" cm="1">
        <f t="array" ref="I16">PRODUCT(E16*H16)</f>
        <v>1000</v>
      </c>
      <c r="J16" s="27"/>
      <c r="K16" s="31"/>
      <c r="L16" s="13"/>
      <c r="M16" s="13"/>
      <c r="N16" s="14"/>
    </row>
    <row r="17" ht="45" customHeight="1">
      <c r="A17" s="32"/>
      <c r="B17" t="s" s="23">
        <v>37</v>
      </c>
      <c r="C17" t="s" s="24">
        <v>32</v>
      </c>
      <c r="D17" t="s" s="24">
        <v>38</v>
      </c>
      <c r="E17" s="25">
        <v>50</v>
      </c>
      <c r="F17" t="s" s="35">
        <v>34</v>
      </c>
      <c r="G17" t="s" s="37">
        <v>39</v>
      </c>
      <c r="H17" s="28">
        <v>25</v>
      </c>
      <c r="I17" s="28" cm="1">
        <f t="array" ref="I17">PRODUCT(E17*H17)</f>
        <v>1250</v>
      </c>
      <c r="J17" s="27"/>
      <c r="K17" s="31"/>
      <c r="L17" s="13"/>
      <c r="M17" s="13"/>
      <c r="N17" s="14"/>
    </row>
    <row r="18" ht="45" customHeight="1">
      <c r="A18" s="22">
        <v>16</v>
      </c>
      <c r="B18" t="s" s="23">
        <v>40</v>
      </c>
      <c r="C18" t="s" s="24">
        <v>32</v>
      </c>
      <c r="D18" t="s" s="24">
        <v>41</v>
      </c>
      <c r="E18" s="25">
        <v>20</v>
      </c>
      <c r="F18" t="s" s="35">
        <v>34</v>
      </c>
      <c r="G18" t="s" s="38">
        <v>42</v>
      </c>
      <c r="H18" s="28">
        <v>44</v>
      </c>
      <c r="I18" s="28" cm="1">
        <f t="array" ref="I18">PRODUCT(E18*H18)</f>
        <v>880</v>
      </c>
      <c r="J18" s="27"/>
      <c r="K18" s="31"/>
      <c r="L18" s="13"/>
      <c r="M18" s="13"/>
      <c r="N18" s="14"/>
    </row>
    <row r="19" ht="45" customHeight="1">
      <c r="A19" s="22">
        <v>17</v>
      </c>
      <c r="B19" t="s" s="23">
        <v>43</v>
      </c>
      <c r="C19" t="s" s="24">
        <v>32</v>
      </c>
      <c r="D19" t="s" s="24">
        <v>44</v>
      </c>
      <c r="E19" s="25">
        <v>20</v>
      </c>
      <c r="F19" t="s" s="35">
        <v>34</v>
      </c>
      <c r="G19" s="27"/>
      <c r="H19" s="28">
        <v>70</v>
      </c>
      <c r="I19" s="28" cm="1">
        <f t="array" ref="I19">PRODUCT(E19*H19)</f>
        <v>1400</v>
      </c>
      <c r="J19" s="27"/>
      <c r="K19" s="31"/>
      <c r="L19" s="13"/>
      <c r="M19" s="13"/>
      <c r="N19" s="14"/>
    </row>
    <row r="20" ht="45" customHeight="1">
      <c r="A20" s="22">
        <v>19</v>
      </c>
      <c r="B20" t="s" s="23">
        <v>45</v>
      </c>
      <c r="C20" t="s" s="24">
        <v>32</v>
      </c>
      <c r="D20" t="s" s="24">
        <v>46</v>
      </c>
      <c r="E20" s="25">
        <v>20</v>
      </c>
      <c r="F20" t="s" s="35">
        <v>34</v>
      </c>
      <c r="G20" t="s" s="36">
        <v>47</v>
      </c>
      <c r="H20" s="28">
        <v>28</v>
      </c>
      <c r="I20" s="28" cm="1">
        <f t="array" ref="I20">PRODUCT(E20*H20)</f>
        <v>560</v>
      </c>
      <c r="J20" s="27"/>
      <c r="K20" s="31"/>
      <c r="L20" s="13"/>
      <c r="M20" s="13"/>
      <c r="N20" s="14"/>
    </row>
    <row r="21" ht="45" customHeight="1">
      <c r="A21" s="22">
        <v>21</v>
      </c>
      <c r="B21" t="s" s="23">
        <v>48</v>
      </c>
      <c r="C21" t="s" s="24">
        <v>49</v>
      </c>
      <c r="D21" t="s" s="24">
        <v>50</v>
      </c>
      <c r="E21" s="25">
        <v>50</v>
      </c>
      <c r="F21" t="s" s="39">
        <v>51</v>
      </c>
      <c r="G21" s="27"/>
      <c r="H21" s="28"/>
      <c r="I21" s="28" cm="1">
        <f t="array" ref="I21">PRODUCT(E21*H21)</f>
        <v>0</v>
      </c>
      <c r="J21" t="s" s="40">
        <v>52</v>
      </c>
      <c r="K21" s="12"/>
      <c r="L21" s="13"/>
      <c r="M21" s="13"/>
      <c r="N21" s="14"/>
    </row>
    <row r="22" ht="45" customHeight="1">
      <c r="A22" s="22">
        <v>22</v>
      </c>
      <c r="B22" t="s" s="23">
        <v>53</v>
      </c>
      <c r="C22" t="s" s="24">
        <v>49</v>
      </c>
      <c r="D22" t="s" s="24">
        <v>54</v>
      </c>
      <c r="E22" s="25">
        <v>50</v>
      </c>
      <c r="F22" t="s" s="39">
        <v>51</v>
      </c>
      <c r="G22" s="27"/>
      <c r="H22" s="28">
        <v>65</v>
      </c>
      <c r="I22" s="28" cm="1">
        <f t="array" ref="I22">PRODUCT(E22*H22)</f>
        <v>3250</v>
      </c>
      <c r="J22" t="s" s="40">
        <v>52</v>
      </c>
      <c r="K22" s="31"/>
      <c r="L22" s="13"/>
      <c r="M22" s="13"/>
      <c r="N22" s="14"/>
    </row>
    <row r="23" ht="45" customHeight="1">
      <c r="A23" s="22">
        <v>23</v>
      </c>
      <c r="B23" t="s" s="23">
        <v>55</v>
      </c>
      <c r="C23" t="s" s="24">
        <v>49</v>
      </c>
      <c r="D23" t="s" s="24">
        <v>56</v>
      </c>
      <c r="E23" s="25">
        <v>50</v>
      </c>
      <c r="F23" t="s" s="39">
        <v>51</v>
      </c>
      <c r="G23" s="27"/>
      <c r="H23" s="28">
        <v>55</v>
      </c>
      <c r="I23" s="28" cm="1">
        <f t="array" ref="I23">PRODUCT(E23*H23)</f>
        <v>2750</v>
      </c>
      <c r="J23" t="s" s="40">
        <v>52</v>
      </c>
      <c r="K23" s="31"/>
      <c r="L23" s="13"/>
      <c r="M23" s="13"/>
      <c r="N23" s="14"/>
    </row>
    <row r="24" ht="45" customHeight="1">
      <c r="A24" s="22">
        <v>24</v>
      </c>
      <c r="B24" t="s" s="23">
        <v>57</v>
      </c>
      <c r="C24" t="s" s="24">
        <v>49</v>
      </c>
      <c r="D24" t="s" s="24">
        <v>50</v>
      </c>
      <c r="E24" s="25">
        <v>50</v>
      </c>
      <c r="F24" t="s" s="39">
        <v>51</v>
      </c>
      <c r="G24" s="27"/>
      <c r="H24" s="28">
        <v>65</v>
      </c>
      <c r="I24" s="28" cm="1">
        <f t="array" ref="I24">PRODUCT(E24*H24)</f>
        <v>3250</v>
      </c>
      <c r="J24" t="s" s="40">
        <v>52</v>
      </c>
      <c r="K24" s="31"/>
      <c r="L24" s="13"/>
      <c r="M24" s="13"/>
      <c r="N24" s="14"/>
    </row>
    <row r="25" ht="45" customHeight="1">
      <c r="A25" s="22">
        <v>25</v>
      </c>
      <c r="B25" t="s" s="23">
        <v>58</v>
      </c>
      <c r="C25" t="s" s="24">
        <v>49</v>
      </c>
      <c r="D25" t="s" s="24">
        <v>59</v>
      </c>
      <c r="E25" s="25">
        <v>50</v>
      </c>
      <c r="F25" t="s" s="39">
        <v>51</v>
      </c>
      <c r="G25" s="27"/>
      <c r="H25" s="28">
        <v>68</v>
      </c>
      <c r="I25" s="28" cm="1">
        <f t="array" ref="I25">PRODUCT(E25*H25)</f>
        <v>3400</v>
      </c>
      <c r="J25" t="s" s="40">
        <v>52</v>
      </c>
      <c r="K25" s="31"/>
      <c r="L25" s="13"/>
      <c r="M25" s="13"/>
      <c r="N25" s="14"/>
    </row>
    <row r="26" ht="45" customHeight="1">
      <c r="A26" s="22">
        <v>30</v>
      </c>
      <c r="B26" t="s" s="23">
        <v>60</v>
      </c>
      <c r="C26" t="s" s="24">
        <v>61</v>
      </c>
      <c r="D26" t="s" s="24">
        <v>62</v>
      </c>
      <c r="E26" s="34">
        <v>5</v>
      </c>
      <c r="F26" t="s" s="30">
        <v>63</v>
      </c>
      <c r="G26" t="s" s="37">
        <v>64</v>
      </c>
      <c r="H26" s="28">
        <v>80</v>
      </c>
      <c r="I26" s="28" cm="1">
        <f t="array" ref="I26">PRODUCT(E26*H26)</f>
        <v>400</v>
      </c>
      <c r="J26" s="27"/>
      <c r="K26" s="31"/>
      <c r="L26" s="13"/>
      <c r="M26" s="13"/>
      <c r="N26" s="14"/>
    </row>
    <row r="27" ht="45" customHeight="1">
      <c r="A27" s="22">
        <v>31</v>
      </c>
      <c r="B27" t="s" s="23">
        <v>65</v>
      </c>
      <c r="C27" t="s" s="24">
        <v>61</v>
      </c>
      <c r="D27" t="s" s="24">
        <v>66</v>
      </c>
      <c r="E27" s="34">
        <v>5</v>
      </c>
      <c r="F27" t="s" s="30">
        <v>63</v>
      </c>
      <c r="G27" t="s" s="41">
        <v>67</v>
      </c>
      <c r="H27" s="28">
        <v>80</v>
      </c>
      <c r="I27" s="28" cm="1">
        <f t="array" ref="I27">PRODUCT(E27*H27)</f>
        <v>400</v>
      </c>
      <c r="J27" s="27"/>
      <c r="K27" s="31"/>
      <c r="L27" s="13"/>
      <c r="M27" s="13"/>
      <c r="N27" s="14"/>
    </row>
    <row r="28" ht="45" customHeight="1">
      <c r="A28" s="22">
        <v>32</v>
      </c>
      <c r="B28" t="s" s="23">
        <v>68</v>
      </c>
      <c r="C28" t="s" s="24">
        <v>69</v>
      </c>
      <c r="D28" t="s" s="24">
        <v>70</v>
      </c>
      <c r="E28" s="25">
        <v>5</v>
      </c>
      <c r="F28" t="s" s="30">
        <v>63</v>
      </c>
      <c r="G28" t="s" s="38">
        <v>71</v>
      </c>
      <c r="H28" s="28">
        <v>41</v>
      </c>
      <c r="I28" s="28" cm="1">
        <f t="array" ref="I28">PRODUCT(E28*H28)</f>
        <v>205</v>
      </c>
      <c r="J28" s="27"/>
      <c r="K28" s="31"/>
      <c r="L28" s="13"/>
      <c r="M28" s="13"/>
      <c r="N28" s="14"/>
    </row>
    <row r="29" ht="45" customHeight="1">
      <c r="A29" s="22">
        <v>33</v>
      </c>
      <c r="B29" t="s" s="23">
        <v>72</v>
      </c>
      <c r="C29" t="s" s="24">
        <v>73</v>
      </c>
      <c r="D29" t="s" s="24">
        <v>74</v>
      </c>
      <c r="E29" s="25">
        <v>50</v>
      </c>
      <c r="F29" t="s" s="30">
        <v>63</v>
      </c>
      <c r="G29" s="27"/>
      <c r="H29" s="28">
        <v>54</v>
      </c>
      <c r="I29" s="28" cm="1">
        <f t="array" ref="I29">PRODUCT(E29*H29)</f>
        <v>2700</v>
      </c>
      <c r="J29" s="27"/>
      <c r="K29" s="31"/>
      <c r="L29" s="13"/>
      <c r="M29" s="13"/>
      <c r="N29" s="14"/>
    </row>
    <row r="30" ht="45" customHeight="1">
      <c r="A30" s="22">
        <v>34</v>
      </c>
      <c r="B30" t="s" s="23">
        <v>75</v>
      </c>
      <c r="C30" t="s" s="24">
        <v>76</v>
      </c>
      <c r="D30" t="s" s="24">
        <v>77</v>
      </c>
      <c r="E30" s="25">
        <v>10</v>
      </c>
      <c r="F30" t="s" s="30">
        <v>78</v>
      </c>
      <c r="G30" s="27"/>
      <c r="H30" s="28">
        <v>54</v>
      </c>
      <c r="I30" s="28" cm="1">
        <f t="array" ref="I30">PRODUCT(E30*H30)</f>
        <v>540</v>
      </c>
      <c r="J30" s="27"/>
      <c r="K30" s="31"/>
      <c r="L30" s="13"/>
      <c r="M30" s="13"/>
      <c r="N30" s="14"/>
    </row>
    <row r="31" ht="45" customHeight="1">
      <c r="A31" s="22">
        <v>35</v>
      </c>
      <c r="B31" t="s" s="23">
        <v>79</v>
      </c>
      <c r="C31" t="s" s="24">
        <v>76</v>
      </c>
      <c r="D31" t="s" s="24">
        <v>80</v>
      </c>
      <c r="E31" s="25">
        <v>10</v>
      </c>
      <c r="F31" t="s" s="30">
        <v>78</v>
      </c>
      <c r="G31" s="27"/>
      <c r="H31" s="28">
        <v>54</v>
      </c>
      <c r="I31" s="28" cm="1">
        <f t="array" ref="I31">PRODUCT(E31*H31)</f>
        <v>540</v>
      </c>
      <c r="J31" s="27"/>
      <c r="K31" s="31"/>
      <c r="L31" s="13"/>
      <c r="M31" s="13"/>
      <c r="N31" s="14"/>
    </row>
    <row r="32" ht="45" customHeight="1">
      <c r="A32" s="22">
        <v>36</v>
      </c>
      <c r="B32" t="s" s="23">
        <v>81</v>
      </c>
      <c r="C32" t="s" s="24">
        <v>76</v>
      </c>
      <c r="D32" t="s" s="24">
        <v>77</v>
      </c>
      <c r="E32" s="25">
        <v>10</v>
      </c>
      <c r="F32" t="s" s="30">
        <v>78</v>
      </c>
      <c r="G32" s="27"/>
      <c r="H32" s="28">
        <v>54</v>
      </c>
      <c r="I32" s="28" cm="1">
        <f t="array" ref="I32">PRODUCT(E32*H32)</f>
        <v>540</v>
      </c>
      <c r="J32" s="27"/>
      <c r="K32" s="31"/>
      <c r="L32" s="13"/>
      <c r="M32" s="13"/>
      <c r="N32" s="14"/>
    </row>
    <row r="33" ht="45" customHeight="1">
      <c r="A33" s="22">
        <v>37</v>
      </c>
      <c r="B33" t="s" s="23">
        <v>82</v>
      </c>
      <c r="C33" t="s" s="24">
        <v>76</v>
      </c>
      <c r="D33" t="s" s="24">
        <v>83</v>
      </c>
      <c r="E33" s="25">
        <v>10</v>
      </c>
      <c r="F33" t="s" s="30">
        <v>78</v>
      </c>
      <c r="G33" s="27"/>
      <c r="H33" s="28">
        <v>80</v>
      </c>
      <c r="I33" s="28" cm="1">
        <f t="array" ref="I33">PRODUCT(E33*H33)</f>
        <v>800</v>
      </c>
      <c r="J33" s="27"/>
      <c r="K33" s="31"/>
      <c r="L33" s="13"/>
      <c r="M33" s="13"/>
      <c r="N33" s="14"/>
    </row>
    <row r="34" ht="45" customHeight="1">
      <c r="A34" s="22">
        <v>38</v>
      </c>
      <c r="B34" t="s" s="23">
        <v>84</v>
      </c>
      <c r="C34" t="s" s="24">
        <v>76</v>
      </c>
      <c r="D34" t="s" s="24">
        <v>85</v>
      </c>
      <c r="E34" s="25">
        <v>10</v>
      </c>
      <c r="F34" t="s" s="30">
        <v>78</v>
      </c>
      <c r="G34" s="27"/>
      <c r="H34" s="28">
        <v>100</v>
      </c>
      <c r="I34" s="28" cm="1">
        <f t="array" ref="I34">PRODUCT(E34*H34)</f>
        <v>1000</v>
      </c>
      <c r="J34" s="27"/>
      <c r="K34" s="31"/>
      <c r="L34" s="13"/>
      <c r="M34" s="13"/>
      <c r="N34" s="14"/>
    </row>
    <row r="35" ht="45" customHeight="1">
      <c r="A35" s="22">
        <v>39</v>
      </c>
      <c r="B35" t="s" s="23">
        <v>86</v>
      </c>
      <c r="C35" t="s" s="24">
        <v>76</v>
      </c>
      <c r="D35" t="s" s="24">
        <v>87</v>
      </c>
      <c r="E35" s="25">
        <v>10</v>
      </c>
      <c r="F35" t="s" s="30">
        <v>78</v>
      </c>
      <c r="G35" s="27"/>
      <c r="H35" s="28">
        <v>85</v>
      </c>
      <c r="I35" s="28" cm="1">
        <f t="array" ref="I35">PRODUCT(E35*H35)</f>
        <v>850</v>
      </c>
      <c r="J35" s="27"/>
      <c r="K35" s="31"/>
      <c r="L35" s="13"/>
      <c r="M35" s="13"/>
      <c r="N35" s="14"/>
    </row>
    <row r="36" ht="45" customHeight="1">
      <c r="A36" s="22">
        <v>40</v>
      </c>
      <c r="B36" t="s" s="23">
        <v>88</v>
      </c>
      <c r="C36" t="s" s="24">
        <v>76</v>
      </c>
      <c r="D36" t="s" s="24">
        <v>89</v>
      </c>
      <c r="E36" s="25">
        <v>10</v>
      </c>
      <c r="F36" t="s" s="30">
        <v>78</v>
      </c>
      <c r="G36" s="27"/>
      <c r="H36" s="28">
        <v>50</v>
      </c>
      <c r="I36" s="28" cm="1">
        <f t="array" ref="I36">PRODUCT(E36*H36)</f>
        <v>500</v>
      </c>
      <c r="J36" t="s" s="36">
        <v>90</v>
      </c>
      <c r="K36" s="31"/>
      <c r="L36" s="13"/>
      <c r="M36" s="13"/>
      <c r="N36" s="14"/>
    </row>
    <row r="37" ht="45" customHeight="1">
      <c r="A37" s="22">
        <v>41</v>
      </c>
      <c r="B37" t="s" s="23">
        <v>91</v>
      </c>
      <c r="C37" t="s" s="24">
        <v>76</v>
      </c>
      <c r="D37" t="s" s="24">
        <v>92</v>
      </c>
      <c r="E37" s="25">
        <v>10</v>
      </c>
      <c r="F37" t="s" s="30">
        <v>78</v>
      </c>
      <c r="G37" s="27"/>
      <c r="H37" s="28">
        <v>100</v>
      </c>
      <c r="I37" s="28" cm="1">
        <f t="array" ref="I37">PRODUCT(E37*H37)</f>
        <v>1000</v>
      </c>
      <c r="J37" s="27"/>
      <c r="K37" s="31"/>
      <c r="L37" s="13"/>
      <c r="M37" s="13"/>
      <c r="N37" s="14"/>
    </row>
    <row r="38" ht="45" customHeight="1">
      <c r="A38" s="22">
        <v>42</v>
      </c>
      <c r="B38" t="s" s="23">
        <v>93</v>
      </c>
      <c r="C38" t="s" s="24">
        <v>94</v>
      </c>
      <c r="D38" t="s" s="24">
        <v>95</v>
      </c>
      <c r="E38" s="25">
        <v>50</v>
      </c>
      <c r="F38" t="s" s="30">
        <v>96</v>
      </c>
      <c r="G38" s="27"/>
      <c r="H38" s="28"/>
      <c r="I38" s="28" cm="1">
        <f t="array" ref="I38">PRODUCT(E38*H38)</f>
        <v>0</v>
      </c>
      <c r="J38" s="27"/>
      <c r="K38" s="12"/>
      <c r="L38" s="13"/>
      <c r="M38" s="13"/>
      <c r="N38" s="14"/>
    </row>
    <row r="39" ht="45" customHeight="1">
      <c r="A39" s="22">
        <v>43</v>
      </c>
      <c r="B39" t="s" s="23">
        <v>97</v>
      </c>
      <c r="C39" t="s" s="24">
        <v>94</v>
      </c>
      <c r="D39" t="s" s="24">
        <v>98</v>
      </c>
      <c r="E39" s="25">
        <v>50</v>
      </c>
      <c r="F39" t="s" s="30">
        <v>96</v>
      </c>
      <c r="G39" s="27"/>
      <c r="H39" s="28"/>
      <c r="I39" s="28" cm="1">
        <f t="array" ref="I39">PRODUCT(E39*H39)</f>
        <v>0</v>
      </c>
      <c r="J39" s="27"/>
      <c r="K39" s="12"/>
      <c r="L39" s="13"/>
      <c r="M39" s="13"/>
      <c r="N39" s="14"/>
    </row>
    <row r="40" ht="45" customHeight="1">
      <c r="A40" s="22">
        <v>44</v>
      </c>
      <c r="B40" t="s" s="23">
        <v>99</v>
      </c>
      <c r="C40" t="s" s="24">
        <v>94</v>
      </c>
      <c r="D40" t="s" s="24">
        <v>100</v>
      </c>
      <c r="E40" s="25">
        <v>30</v>
      </c>
      <c r="F40" t="s" s="30">
        <v>96</v>
      </c>
      <c r="G40" s="27"/>
      <c r="H40" s="28">
        <v>130</v>
      </c>
      <c r="I40" s="28" cm="1">
        <f t="array" ref="I40">PRODUCT(E40*H40)</f>
        <v>3900</v>
      </c>
      <c r="J40" s="27"/>
      <c r="K40" s="31"/>
      <c r="L40" s="13"/>
      <c r="M40" s="13"/>
      <c r="N40" s="14"/>
    </row>
    <row r="41" ht="45" customHeight="1">
      <c r="A41" s="22">
        <v>45</v>
      </c>
      <c r="B41" t="s" s="23">
        <v>101</v>
      </c>
      <c r="C41" t="s" s="24">
        <v>94</v>
      </c>
      <c r="D41" t="s" s="24">
        <v>102</v>
      </c>
      <c r="E41" s="25">
        <v>30</v>
      </c>
      <c r="F41" t="s" s="30">
        <v>96</v>
      </c>
      <c r="G41" s="27"/>
      <c r="H41" s="28">
        <v>130</v>
      </c>
      <c r="I41" s="28" cm="1">
        <f t="array" ref="I41">PRODUCT(E41*H41)</f>
        <v>3900</v>
      </c>
      <c r="J41" s="27"/>
      <c r="K41" s="31"/>
      <c r="L41" s="13"/>
      <c r="M41" s="13"/>
      <c r="N41" s="14"/>
    </row>
    <row r="42" ht="45" customHeight="1">
      <c r="A42" s="22">
        <v>46</v>
      </c>
      <c r="B42" t="s" s="23">
        <v>103</v>
      </c>
      <c r="C42" t="s" s="24">
        <v>94</v>
      </c>
      <c r="D42" t="s" s="24">
        <v>104</v>
      </c>
      <c r="E42" s="26"/>
      <c r="F42" t="s" s="30">
        <v>96</v>
      </c>
      <c r="G42" s="27"/>
      <c r="H42" s="28"/>
      <c r="I42" s="28" cm="1">
        <f t="array" ref="I42">PRODUCT(E42*H42)</f>
        <v>0</v>
      </c>
      <c r="J42" s="27"/>
      <c r="K42" s="12"/>
      <c r="L42" s="13"/>
      <c r="M42" s="13"/>
      <c r="N42" s="14"/>
    </row>
    <row r="43" ht="45" customHeight="1">
      <c r="A43" s="32"/>
      <c r="B43" t="s" s="23">
        <v>105</v>
      </c>
      <c r="C43" t="s" s="24">
        <v>106</v>
      </c>
      <c r="D43" t="s" s="24">
        <v>107</v>
      </c>
      <c r="E43" s="25">
        <v>30</v>
      </c>
      <c r="F43" s="26"/>
      <c r="G43" s="27"/>
      <c r="H43" s="28">
        <v>17.5</v>
      </c>
      <c r="I43" s="28" cm="1">
        <f t="array" ref="I43">PRODUCT(E43*H43)</f>
        <v>525</v>
      </c>
      <c r="J43" s="27"/>
      <c r="K43" s="31"/>
      <c r="L43" s="13"/>
      <c r="M43" s="13"/>
      <c r="N43" s="14"/>
    </row>
    <row r="44" ht="45" customHeight="1">
      <c r="A44" s="22">
        <v>59</v>
      </c>
      <c r="B44" t="s" s="23">
        <v>108</v>
      </c>
      <c r="C44" t="s" s="24">
        <v>109</v>
      </c>
      <c r="D44" t="s" s="24">
        <v>110</v>
      </c>
      <c r="E44" s="25">
        <v>50</v>
      </c>
      <c r="F44" t="s" s="30">
        <v>111</v>
      </c>
      <c r="G44" s="27"/>
      <c r="H44" s="28">
        <v>20</v>
      </c>
      <c r="I44" s="28" cm="1">
        <f t="array" ref="I44">PRODUCT(E44*H44)</f>
        <v>1000</v>
      </c>
      <c r="J44" s="27"/>
      <c r="K44" s="31"/>
      <c r="L44" s="13"/>
      <c r="M44" s="13"/>
      <c r="N44" s="14"/>
    </row>
    <row r="45" ht="45" customHeight="1">
      <c r="A45" s="22">
        <v>62</v>
      </c>
      <c r="B45" t="s" s="23">
        <v>112</v>
      </c>
      <c r="C45" t="s" s="24">
        <v>113</v>
      </c>
      <c r="D45" t="s" s="24">
        <v>114</v>
      </c>
      <c r="E45" s="25">
        <v>150</v>
      </c>
      <c r="F45" t="s" s="30">
        <v>111</v>
      </c>
      <c r="G45" s="27"/>
      <c r="H45" s="28">
        <v>6</v>
      </c>
      <c r="I45" s="28" cm="1">
        <f t="array" ref="I45">PRODUCT(E45*H45)</f>
        <v>900</v>
      </c>
      <c r="J45" t="s" s="42">
        <v>115</v>
      </c>
      <c r="K45" s="31"/>
      <c r="L45" s="13"/>
      <c r="M45" s="13"/>
      <c r="N45" s="14"/>
    </row>
    <row r="46" ht="45" customHeight="1">
      <c r="A46" s="22">
        <v>63</v>
      </c>
      <c r="B46" t="s" s="23">
        <v>116</v>
      </c>
      <c r="C46" t="s" s="24">
        <v>117</v>
      </c>
      <c r="D46" t="s" s="24">
        <v>118</v>
      </c>
      <c r="E46" s="25">
        <v>150</v>
      </c>
      <c r="F46" t="s" s="30">
        <v>111</v>
      </c>
      <c r="G46" t="s" s="37">
        <v>119</v>
      </c>
      <c r="H46" s="28">
        <v>6</v>
      </c>
      <c r="I46" s="28" cm="1">
        <f t="array" ref="I46">PRODUCT(E46*H46)</f>
        <v>900</v>
      </c>
      <c r="J46" s="43"/>
      <c r="K46" s="31"/>
      <c r="L46" s="13"/>
      <c r="M46" s="13"/>
      <c r="N46" s="14"/>
    </row>
    <row r="47" ht="45" customHeight="1">
      <c r="A47" s="22">
        <v>64</v>
      </c>
      <c r="B47" t="s" s="23">
        <v>120</v>
      </c>
      <c r="C47" t="s" s="24">
        <v>121</v>
      </c>
      <c r="D47" t="s" s="24">
        <v>122</v>
      </c>
      <c r="E47" s="25">
        <v>100</v>
      </c>
      <c r="F47" t="s" s="30">
        <v>111</v>
      </c>
      <c r="G47" s="44"/>
      <c r="H47" s="28">
        <v>9</v>
      </c>
      <c r="I47" s="28" cm="1">
        <f t="array" ref="I47">PRODUCT(E47*H47)</f>
        <v>900</v>
      </c>
      <c r="J47" s="43"/>
      <c r="K47" s="31"/>
      <c r="L47" s="13"/>
      <c r="M47" s="13"/>
      <c r="N47" s="14"/>
    </row>
    <row r="48" ht="45" customHeight="1">
      <c r="A48" s="22">
        <v>65</v>
      </c>
      <c r="B48" t="s" s="23">
        <v>123</v>
      </c>
      <c r="C48" t="s" s="24">
        <v>124</v>
      </c>
      <c r="D48" t="s" s="24">
        <v>113</v>
      </c>
      <c r="E48" s="25">
        <v>100</v>
      </c>
      <c r="F48" t="s" s="30">
        <v>111</v>
      </c>
      <c r="G48" t="s" s="41">
        <v>125</v>
      </c>
      <c r="H48" s="28">
        <v>9</v>
      </c>
      <c r="I48" s="28" cm="1">
        <f t="array" ref="I48">PRODUCT(E48*H48)</f>
        <v>900</v>
      </c>
      <c r="J48" s="43"/>
      <c r="K48" s="31"/>
      <c r="L48" s="13"/>
      <c r="M48" s="13"/>
      <c r="N48" s="14"/>
    </row>
    <row r="49" ht="45" customHeight="1">
      <c r="A49" s="22">
        <v>66</v>
      </c>
      <c r="B49" t="s" s="23">
        <v>126</v>
      </c>
      <c r="C49" t="s" s="24">
        <v>127</v>
      </c>
      <c r="D49" t="s" s="24">
        <v>128</v>
      </c>
      <c r="E49" s="25">
        <v>100</v>
      </c>
      <c r="F49" t="s" s="30">
        <v>111</v>
      </c>
      <c r="G49" t="s" s="41">
        <v>129</v>
      </c>
      <c r="H49" s="28">
        <v>6.5</v>
      </c>
      <c r="I49" s="28" cm="1">
        <f t="array" ref="I49">PRODUCT(E49*H49)</f>
        <v>650</v>
      </c>
      <c r="J49" s="43"/>
      <c r="K49" s="31"/>
      <c r="L49" s="13"/>
      <c r="M49" s="13"/>
      <c r="N49" s="14"/>
    </row>
    <row r="50" ht="45" customHeight="1">
      <c r="A50" s="22">
        <v>67</v>
      </c>
      <c r="B50" t="s" s="23">
        <v>130</v>
      </c>
      <c r="C50" t="s" s="24">
        <v>127</v>
      </c>
      <c r="D50" t="s" s="24">
        <v>131</v>
      </c>
      <c r="E50" s="25">
        <v>100</v>
      </c>
      <c r="F50" t="s" s="30">
        <v>111</v>
      </c>
      <c r="G50" t="s" s="38">
        <v>132</v>
      </c>
      <c r="H50" s="28">
        <v>5.5</v>
      </c>
      <c r="I50" s="28" cm="1">
        <f t="array" ref="I50">PRODUCT(E50*H50)</f>
        <v>550</v>
      </c>
      <c r="J50" s="43"/>
      <c r="K50" s="31"/>
      <c r="L50" s="13"/>
      <c r="M50" s="13"/>
      <c r="N50" s="14"/>
    </row>
    <row r="51" ht="45" customHeight="1">
      <c r="A51" s="22">
        <v>69</v>
      </c>
      <c r="B51" t="s" s="23">
        <v>133</v>
      </c>
      <c r="C51" t="s" s="24">
        <v>134</v>
      </c>
      <c r="D51" t="s" s="24">
        <v>135</v>
      </c>
      <c r="E51" s="25">
        <v>50</v>
      </c>
      <c r="F51" t="s" s="30">
        <v>111</v>
      </c>
      <c r="G51" s="27"/>
      <c r="H51" s="28">
        <v>22</v>
      </c>
      <c r="I51" s="28" cm="1">
        <f t="array" ref="I51">PRODUCT(E51*H51)</f>
        <v>1100</v>
      </c>
      <c r="J51" s="43"/>
      <c r="K51" s="31"/>
      <c r="L51" s="13"/>
      <c r="M51" s="13"/>
      <c r="N51" s="14"/>
    </row>
    <row r="52" ht="45" customHeight="1">
      <c r="A52" s="32"/>
      <c r="B52" t="s" s="23">
        <v>136</v>
      </c>
      <c r="C52" t="s" s="24">
        <v>137</v>
      </c>
      <c r="D52" t="s" s="24">
        <v>66</v>
      </c>
      <c r="E52" s="34">
        <v>80</v>
      </c>
      <c r="F52" t="s" s="30">
        <v>138</v>
      </c>
      <c r="G52" s="27"/>
      <c r="H52" s="28">
        <v>105</v>
      </c>
      <c r="I52" s="28" cm="1">
        <f t="array" ref="I52">PRODUCT(E52*H52)</f>
        <v>8400</v>
      </c>
      <c r="J52" s="27"/>
      <c r="K52" s="31"/>
      <c r="L52" s="13"/>
      <c r="M52" s="13"/>
      <c r="N52" s="14"/>
    </row>
    <row r="53" ht="45" customHeight="1">
      <c r="A53" s="22">
        <v>72</v>
      </c>
      <c r="B53" t="s" s="23">
        <v>139</v>
      </c>
      <c r="C53" t="s" s="24">
        <v>137</v>
      </c>
      <c r="D53" t="s" s="24">
        <v>140</v>
      </c>
      <c r="E53" s="25">
        <v>50</v>
      </c>
      <c r="F53" t="s" s="30">
        <v>138</v>
      </c>
      <c r="G53" s="27"/>
      <c r="H53" s="28">
        <v>115</v>
      </c>
      <c r="I53" s="28" cm="1">
        <f t="array" ref="I53">PRODUCT(E53*H53)</f>
        <v>5750</v>
      </c>
      <c r="J53" s="27"/>
      <c r="K53" s="31"/>
      <c r="L53" s="13"/>
      <c r="M53" s="13"/>
      <c r="N53" s="14"/>
    </row>
    <row r="54" ht="45" customHeight="1">
      <c r="A54" s="22">
        <v>73</v>
      </c>
      <c r="B54" t="s" s="23">
        <v>141</v>
      </c>
      <c r="C54" t="s" s="24">
        <v>137</v>
      </c>
      <c r="D54" t="s" s="24">
        <v>142</v>
      </c>
      <c r="E54" s="25">
        <v>50</v>
      </c>
      <c r="F54" t="s" s="30">
        <v>138</v>
      </c>
      <c r="G54" s="27"/>
      <c r="H54" s="28">
        <v>115</v>
      </c>
      <c r="I54" s="28" cm="1">
        <f t="array" ref="I54">PRODUCT(E54*H54)</f>
        <v>5750</v>
      </c>
      <c r="J54" s="27"/>
      <c r="K54" s="31"/>
      <c r="L54" s="13"/>
      <c r="M54" s="13"/>
      <c r="N54" s="14"/>
    </row>
    <row r="55" ht="45" customHeight="1">
      <c r="A55" s="22">
        <v>74</v>
      </c>
      <c r="B55" t="s" s="23">
        <v>143</v>
      </c>
      <c r="C55" t="s" s="24">
        <v>137</v>
      </c>
      <c r="D55" t="s" s="24">
        <v>144</v>
      </c>
      <c r="E55" s="25">
        <v>50</v>
      </c>
      <c r="F55" t="s" s="30">
        <v>138</v>
      </c>
      <c r="G55" s="27"/>
      <c r="H55" s="28">
        <v>115</v>
      </c>
      <c r="I55" s="28" cm="1">
        <f t="array" ref="I55">PRODUCT(E55*H55)</f>
        <v>5750</v>
      </c>
      <c r="J55" s="27"/>
      <c r="K55" s="31"/>
      <c r="L55" s="13"/>
      <c r="M55" s="13"/>
      <c r="N55" s="14"/>
    </row>
    <row r="56" ht="45" customHeight="1">
      <c r="A56" s="32"/>
      <c r="B56" t="s" s="23">
        <v>145</v>
      </c>
      <c r="C56" t="s" s="24">
        <v>137</v>
      </c>
      <c r="D56" t="s" s="24">
        <v>146</v>
      </c>
      <c r="E56" s="25">
        <v>50</v>
      </c>
      <c r="F56" t="s" s="30">
        <v>138</v>
      </c>
      <c r="G56" s="27"/>
      <c r="H56" s="28">
        <v>115</v>
      </c>
      <c r="I56" s="28" cm="1">
        <f t="array" ref="I56">PRODUCT(E56*H56)</f>
        <v>5750</v>
      </c>
      <c r="J56" s="27"/>
      <c r="K56" s="31"/>
      <c r="L56" s="13"/>
      <c r="M56" s="13"/>
      <c r="N56" s="14"/>
    </row>
    <row r="57" ht="45" customHeight="1">
      <c r="A57" s="22">
        <v>76</v>
      </c>
      <c r="B57" t="s" s="23">
        <v>147</v>
      </c>
      <c r="C57" t="s" s="24">
        <v>137</v>
      </c>
      <c r="D57" t="s" s="24">
        <v>148</v>
      </c>
      <c r="E57" s="34">
        <v>85</v>
      </c>
      <c r="F57" t="s" s="30">
        <v>138</v>
      </c>
      <c r="G57" s="27"/>
      <c r="H57" s="28">
        <v>130</v>
      </c>
      <c r="I57" s="28" cm="1">
        <f t="array" ref="I57">PRODUCT(E57*H57)</f>
        <v>11050</v>
      </c>
      <c r="J57" s="27"/>
      <c r="K57" s="31"/>
      <c r="L57" s="13"/>
      <c r="M57" s="13"/>
      <c r="N57" s="14"/>
    </row>
    <row r="58" ht="45" customHeight="1">
      <c r="A58" s="22">
        <v>77</v>
      </c>
      <c r="B58" t="s" s="23">
        <v>149</v>
      </c>
      <c r="C58" t="s" s="24">
        <v>137</v>
      </c>
      <c r="D58" t="s" s="24">
        <v>150</v>
      </c>
      <c r="E58" s="34">
        <v>85</v>
      </c>
      <c r="F58" t="s" s="30">
        <v>138</v>
      </c>
      <c r="G58" s="27"/>
      <c r="H58" s="28">
        <v>130</v>
      </c>
      <c r="I58" s="28" cm="1">
        <f t="array" ref="I58">PRODUCT(E58*H58)</f>
        <v>11050</v>
      </c>
      <c r="J58" s="27"/>
      <c r="K58" s="31"/>
      <c r="L58" s="13"/>
      <c r="M58" s="13"/>
      <c r="N58" s="14"/>
    </row>
    <row r="59" ht="45" customHeight="1">
      <c r="A59" s="22">
        <v>78</v>
      </c>
      <c r="B59" t="s" s="23">
        <v>151</v>
      </c>
      <c r="C59" t="s" s="24">
        <v>137</v>
      </c>
      <c r="D59" t="s" s="24">
        <v>152</v>
      </c>
      <c r="E59" s="25">
        <v>75</v>
      </c>
      <c r="F59" t="s" s="30">
        <v>138</v>
      </c>
      <c r="G59" s="27"/>
      <c r="H59" s="28">
        <v>128</v>
      </c>
      <c r="I59" s="28" cm="1">
        <f t="array" ref="I59">PRODUCT(E59*H59)</f>
        <v>9600</v>
      </c>
      <c r="J59" s="27"/>
      <c r="K59" s="31"/>
      <c r="L59" s="13"/>
      <c r="M59" s="13"/>
      <c r="N59" s="14"/>
    </row>
    <row r="60" ht="45" customHeight="1">
      <c r="A60" s="22">
        <v>79</v>
      </c>
      <c r="B60" t="s" s="23">
        <v>153</v>
      </c>
      <c r="C60" t="s" s="24">
        <v>137</v>
      </c>
      <c r="D60" t="s" s="24">
        <v>154</v>
      </c>
      <c r="E60" s="25">
        <v>75</v>
      </c>
      <c r="F60" t="s" s="30">
        <v>138</v>
      </c>
      <c r="G60" s="27"/>
      <c r="H60" s="28">
        <v>128</v>
      </c>
      <c r="I60" s="28" cm="1">
        <f t="array" ref="I60">PRODUCT(E60*H60)</f>
        <v>9600</v>
      </c>
      <c r="J60" s="27"/>
      <c r="K60" s="31"/>
      <c r="L60" s="13"/>
      <c r="M60" s="13"/>
      <c r="N60" s="14"/>
    </row>
    <row r="61" ht="45" customHeight="1">
      <c r="A61" s="22">
        <v>80</v>
      </c>
      <c r="B61" t="s" s="23">
        <v>155</v>
      </c>
      <c r="C61" t="s" s="24">
        <v>137</v>
      </c>
      <c r="D61" t="s" s="24">
        <v>156</v>
      </c>
      <c r="E61" s="25">
        <v>50</v>
      </c>
      <c r="F61" t="s" s="30">
        <v>138</v>
      </c>
      <c r="G61" s="27"/>
      <c r="H61" s="28">
        <v>60</v>
      </c>
      <c r="I61" s="28" cm="1">
        <f t="array" ref="I61">PRODUCT(E61*H61)</f>
        <v>3000</v>
      </c>
      <c r="J61" s="27"/>
      <c r="K61" s="31"/>
      <c r="L61" s="13"/>
      <c r="M61" s="13"/>
      <c r="N61" s="14"/>
    </row>
    <row r="62" ht="45" customHeight="1">
      <c r="A62" s="22">
        <v>81</v>
      </c>
      <c r="B62" t="s" s="23">
        <v>157</v>
      </c>
      <c r="C62" t="s" s="24">
        <v>137</v>
      </c>
      <c r="D62" t="s" s="24">
        <v>66</v>
      </c>
      <c r="E62" s="34">
        <v>50</v>
      </c>
      <c r="F62" t="s" s="30">
        <v>138</v>
      </c>
      <c r="G62" s="27"/>
      <c r="H62" s="28">
        <v>65</v>
      </c>
      <c r="I62" s="28" cm="1">
        <f t="array" ref="I62">PRODUCT(E62*H62)</f>
        <v>3250</v>
      </c>
      <c r="J62" s="27"/>
      <c r="K62" s="31"/>
      <c r="L62" s="13"/>
      <c r="M62" s="13"/>
      <c r="N62" s="14"/>
    </row>
    <row r="63" ht="45" customHeight="1">
      <c r="A63" s="22">
        <v>82</v>
      </c>
      <c r="B63" t="s" s="23">
        <v>158</v>
      </c>
      <c r="C63" t="s" s="24">
        <v>137</v>
      </c>
      <c r="D63" t="s" s="24">
        <v>159</v>
      </c>
      <c r="E63" s="25">
        <v>50</v>
      </c>
      <c r="F63" t="s" s="30">
        <v>138</v>
      </c>
      <c r="G63" s="27"/>
      <c r="H63" s="28">
        <v>60</v>
      </c>
      <c r="I63" s="28" cm="1">
        <f t="array" ref="I63">PRODUCT(E63*H63)</f>
        <v>3000</v>
      </c>
      <c r="J63" s="27"/>
      <c r="K63" s="31"/>
      <c r="L63" s="13"/>
      <c r="M63" s="13"/>
      <c r="N63" s="14"/>
    </row>
    <row r="64" ht="45" customHeight="1">
      <c r="A64" s="22">
        <v>83</v>
      </c>
      <c r="B64" t="s" s="23">
        <v>160</v>
      </c>
      <c r="C64" t="s" s="24">
        <v>94</v>
      </c>
      <c r="D64" t="s" s="24">
        <v>161</v>
      </c>
      <c r="E64" s="25">
        <v>50</v>
      </c>
      <c r="F64" t="s" s="30">
        <v>96</v>
      </c>
      <c r="G64" s="27"/>
      <c r="H64" s="28">
        <v>18</v>
      </c>
      <c r="I64" s="28" cm="1">
        <f t="array" ref="I64">PRODUCT(E64*H64)</f>
        <v>900</v>
      </c>
      <c r="J64" s="27"/>
      <c r="K64" s="31"/>
      <c r="L64" s="13"/>
      <c r="M64" s="13"/>
      <c r="N64" s="14"/>
    </row>
    <row r="65" ht="45" customHeight="1">
      <c r="A65" s="22">
        <v>84</v>
      </c>
      <c r="B65" t="s" s="23">
        <v>162</v>
      </c>
      <c r="C65" t="s" s="24">
        <v>94</v>
      </c>
      <c r="D65" t="s" s="24">
        <v>66</v>
      </c>
      <c r="E65" s="25">
        <v>50</v>
      </c>
      <c r="F65" t="s" s="30">
        <v>96</v>
      </c>
      <c r="G65" s="27"/>
      <c r="H65" s="28">
        <v>17.5</v>
      </c>
      <c r="I65" s="28" cm="1">
        <f t="array" ref="I65">PRODUCT(E65*H65)</f>
        <v>875</v>
      </c>
      <c r="J65" s="27"/>
      <c r="K65" s="31"/>
      <c r="L65" s="13"/>
      <c r="M65" s="13"/>
      <c r="N65" s="14"/>
    </row>
    <row r="66" ht="45" customHeight="1">
      <c r="A66" s="22">
        <v>85</v>
      </c>
      <c r="B66" t="s" s="23">
        <v>163</v>
      </c>
      <c r="C66" t="s" s="24">
        <v>164</v>
      </c>
      <c r="D66" t="s" s="24">
        <v>165</v>
      </c>
      <c r="E66" s="25">
        <v>50</v>
      </c>
      <c r="F66" t="s" s="30">
        <v>96</v>
      </c>
      <c r="G66" s="27"/>
      <c r="H66" s="28">
        <v>28.5</v>
      </c>
      <c r="I66" s="28" cm="1">
        <f t="array" ref="I66">PRODUCT(E66*H66)</f>
        <v>1425</v>
      </c>
      <c r="J66" s="27"/>
      <c r="K66" s="31"/>
      <c r="L66" s="13"/>
      <c r="M66" s="13"/>
      <c r="N66" s="14"/>
    </row>
    <row r="67" ht="45" customHeight="1">
      <c r="A67" s="22">
        <v>86</v>
      </c>
      <c r="B67" t="s" s="23">
        <v>166</v>
      </c>
      <c r="C67" t="s" s="24">
        <v>94</v>
      </c>
      <c r="D67" t="s" s="24">
        <v>167</v>
      </c>
      <c r="E67" s="25">
        <v>50</v>
      </c>
      <c r="F67" t="s" s="30">
        <v>96</v>
      </c>
      <c r="G67" s="27"/>
      <c r="H67" s="28">
        <v>30</v>
      </c>
      <c r="I67" s="28" cm="1">
        <f t="array" ref="I67">PRODUCT(E67*H67)</f>
        <v>1500</v>
      </c>
      <c r="J67" s="27"/>
      <c r="K67" s="31"/>
      <c r="L67" s="13"/>
      <c r="M67" s="13"/>
      <c r="N67" s="14"/>
    </row>
    <row r="68" ht="45" customHeight="1">
      <c r="A68" s="22">
        <v>87</v>
      </c>
      <c r="B68" t="s" s="23">
        <v>168</v>
      </c>
      <c r="C68" t="s" s="24">
        <v>94</v>
      </c>
      <c r="D68" t="s" s="24">
        <v>169</v>
      </c>
      <c r="E68" s="25">
        <v>50</v>
      </c>
      <c r="F68" t="s" s="30">
        <v>96</v>
      </c>
      <c r="G68" s="27"/>
      <c r="H68" s="28">
        <v>17.5</v>
      </c>
      <c r="I68" s="28" cm="1">
        <f t="array" ref="I68">PRODUCT(E68*H68)</f>
        <v>875</v>
      </c>
      <c r="J68" s="27"/>
      <c r="K68" s="31"/>
      <c r="L68" s="13"/>
      <c r="M68" s="13"/>
      <c r="N68" s="14"/>
    </row>
    <row r="69" ht="45" customHeight="1">
      <c r="A69" s="22">
        <v>88</v>
      </c>
      <c r="B69" t="s" s="23">
        <v>170</v>
      </c>
      <c r="C69" t="s" s="24">
        <v>94</v>
      </c>
      <c r="D69" t="s" s="24">
        <v>66</v>
      </c>
      <c r="E69" s="25">
        <v>50</v>
      </c>
      <c r="F69" t="s" s="30">
        <v>96</v>
      </c>
      <c r="G69" s="27"/>
      <c r="H69" s="28">
        <v>17.5</v>
      </c>
      <c r="I69" s="28" cm="1">
        <f t="array" ref="I69">PRODUCT(E69*H69)</f>
        <v>875</v>
      </c>
      <c r="J69" s="27"/>
      <c r="K69" s="31"/>
      <c r="L69" s="13"/>
      <c r="M69" s="13"/>
      <c r="N69" s="14"/>
    </row>
    <row r="70" ht="45" customHeight="1">
      <c r="A70" s="22">
        <v>90</v>
      </c>
      <c r="B70" t="s" s="23">
        <v>171</v>
      </c>
      <c r="C70" t="s" s="24">
        <v>94</v>
      </c>
      <c r="D70" t="s" s="24">
        <v>172</v>
      </c>
      <c r="E70" s="25">
        <v>50</v>
      </c>
      <c r="F70" t="s" s="30">
        <v>96</v>
      </c>
      <c r="G70" s="27"/>
      <c r="H70" s="28">
        <v>16.5</v>
      </c>
      <c r="I70" s="28" cm="1">
        <f t="array" ref="I70">PRODUCT(E70*H70)</f>
        <v>825</v>
      </c>
      <c r="J70" s="27"/>
      <c r="K70" s="31"/>
      <c r="L70" s="13"/>
      <c r="M70" s="13"/>
      <c r="N70" s="14"/>
    </row>
    <row r="71" ht="45" customHeight="1">
      <c r="A71" s="22">
        <v>93</v>
      </c>
      <c r="B71" t="s" s="23">
        <v>173</v>
      </c>
      <c r="C71" t="s" s="24">
        <v>94</v>
      </c>
      <c r="D71" t="s" s="24">
        <v>174</v>
      </c>
      <c r="E71" s="25">
        <v>100</v>
      </c>
      <c r="F71" t="s" s="30">
        <v>96</v>
      </c>
      <c r="G71" s="27"/>
      <c r="H71" s="28">
        <v>50</v>
      </c>
      <c r="I71" s="28" cm="1">
        <f t="array" ref="I71">PRODUCT(E71*H71)</f>
        <v>5000</v>
      </c>
      <c r="J71" s="27"/>
      <c r="K71" s="31"/>
      <c r="L71" s="13"/>
      <c r="M71" s="13"/>
      <c r="N71" s="14"/>
    </row>
    <row r="72" ht="45" customHeight="1">
      <c r="A72" s="22">
        <v>94</v>
      </c>
      <c r="B72" t="s" s="23">
        <v>175</v>
      </c>
      <c r="C72" t="s" s="24">
        <v>94</v>
      </c>
      <c r="D72" t="s" s="24">
        <v>176</v>
      </c>
      <c r="E72" s="25">
        <v>100</v>
      </c>
      <c r="F72" t="s" s="30">
        <v>96</v>
      </c>
      <c r="G72" s="27"/>
      <c r="H72" s="28">
        <v>50</v>
      </c>
      <c r="I72" s="28" cm="1">
        <f t="array" ref="I72">PRODUCT(E72*H72)</f>
        <v>5000</v>
      </c>
      <c r="J72" s="27"/>
      <c r="K72" s="31"/>
      <c r="L72" s="13"/>
      <c r="M72" s="13"/>
      <c r="N72" s="14"/>
    </row>
    <row r="73" ht="45" customHeight="1">
      <c r="A73" s="22">
        <v>96</v>
      </c>
      <c r="B73" t="s" s="23">
        <v>177</v>
      </c>
      <c r="C73" t="s" s="24">
        <v>178</v>
      </c>
      <c r="D73" t="s" s="24">
        <v>179</v>
      </c>
      <c r="E73" s="25">
        <v>150</v>
      </c>
      <c r="F73" t="s" s="30">
        <v>111</v>
      </c>
      <c r="G73" s="27"/>
      <c r="H73" s="28">
        <v>13.5</v>
      </c>
      <c r="I73" s="28" cm="1">
        <f t="array" ref="I73">PRODUCT(E73*H73)</f>
        <v>2025</v>
      </c>
      <c r="J73" t="s" s="42">
        <v>115</v>
      </c>
      <c r="K73" s="31"/>
      <c r="L73" s="13"/>
      <c r="M73" s="13"/>
      <c r="N73" s="14"/>
    </row>
    <row r="74" ht="45" customHeight="1">
      <c r="A74" s="22">
        <v>97</v>
      </c>
      <c r="B74" t="s" s="23">
        <v>180</v>
      </c>
      <c r="C74" t="s" s="24">
        <v>178</v>
      </c>
      <c r="D74" t="s" s="24">
        <v>181</v>
      </c>
      <c r="E74" s="25">
        <v>50</v>
      </c>
      <c r="F74" t="s" s="30">
        <v>111</v>
      </c>
      <c r="G74" s="27"/>
      <c r="H74" s="28">
        <v>12</v>
      </c>
      <c r="I74" s="28" cm="1">
        <f t="array" ref="I74">PRODUCT(E74*H74)</f>
        <v>600</v>
      </c>
      <c r="J74" s="43"/>
      <c r="K74" s="31"/>
      <c r="L74" s="13"/>
      <c r="M74" s="13"/>
      <c r="N74" s="14"/>
    </row>
    <row r="75" ht="45" customHeight="1">
      <c r="A75" s="22">
        <v>98</v>
      </c>
      <c r="B75" t="s" s="23">
        <v>182</v>
      </c>
      <c r="C75" t="s" s="24">
        <v>178</v>
      </c>
      <c r="D75" t="s" s="24">
        <v>183</v>
      </c>
      <c r="E75" s="25">
        <v>80</v>
      </c>
      <c r="F75" t="s" s="30">
        <v>111</v>
      </c>
      <c r="G75" s="27"/>
      <c r="H75" s="28">
        <v>12</v>
      </c>
      <c r="I75" s="28" cm="1">
        <f t="array" ref="I75">PRODUCT(E75*H75)</f>
        <v>960</v>
      </c>
      <c r="J75" s="43"/>
      <c r="K75" s="31"/>
      <c r="L75" s="13"/>
      <c r="M75" s="13"/>
      <c r="N75" s="14"/>
    </row>
    <row r="76" ht="45" customHeight="1">
      <c r="A76" s="22">
        <v>99</v>
      </c>
      <c r="B76" t="s" s="23">
        <v>184</v>
      </c>
      <c r="C76" t="s" s="24">
        <v>178</v>
      </c>
      <c r="D76" t="s" s="24">
        <v>185</v>
      </c>
      <c r="E76" s="25">
        <v>150</v>
      </c>
      <c r="F76" t="s" s="30">
        <v>111</v>
      </c>
      <c r="G76" s="27"/>
      <c r="H76" s="28">
        <v>10</v>
      </c>
      <c r="I76" s="28" cm="1">
        <f t="array" ref="I76">PRODUCT(E76*H76)</f>
        <v>1500</v>
      </c>
      <c r="J76" s="43"/>
      <c r="K76" s="31"/>
      <c r="L76" s="13"/>
      <c r="M76" s="13"/>
      <c r="N76" s="14"/>
    </row>
    <row r="77" ht="45" customHeight="1">
      <c r="A77" s="22">
        <v>100</v>
      </c>
      <c r="B77" t="s" s="23">
        <v>186</v>
      </c>
      <c r="C77" t="s" s="24">
        <v>178</v>
      </c>
      <c r="D77" t="s" s="24">
        <v>187</v>
      </c>
      <c r="E77" s="25">
        <v>50</v>
      </c>
      <c r="F77" t="s" s="30">
        <v>111</v>
      </c>
      <c r="G77" s="27"/>
      <c r="H77" s="28">
        <v>12</v>
      </c>
      <c r="I77" s="28" cm="1">
        <f t="array" ref="I77">PRODUCT(E77*H77)</f>
        <v>600</v>
      </c>
      <c r="J77" s="43"/>
      <c r="K77" s="31"/>
      <c r="L77" s="13"/>
      <c r="M77" s="13"/>
      <c r="N77" s="14"/>
    </row>
    <row r="78" ht="45" customHeight="1">
      <c r="A78" s="22">
        <v>101</v>
      </c>
      <c r="B78" t="s" s="23">
        <v>188</v>
      </c>
      <c r="C78" t="s" s="24">
        <v>178</v>
      </c>
      <c r="D78" t="s" s="24">
        <v>189</v>
      </c>
      <c r="E78" s="25">
        <v>120</v>
      </c>
      <c r="F78" t="s" s="30">
        <v>111</v>
      </c>
      <c r="G78" s="27"/>
      <c r="H78" s="28">
        <v>11</v>
      </c>
      <c r="I78" s="28" cm="1">
        <f t="array" ref="I78">PRODUCT(E78*H78)</f>
        <v>1320</v>
      </c>
      <c r="J78" s="43"/>
      <c r="K78" s="31"/>
      <c r="L78" s="13"/>
      <c r="M78" s="13"/>
      <c r="N78" s="14"/>
    </row>
    <row r="79" ht="45" customHeight="1">
      <c r="A79" s="22">
        <v>102</v>
      </c>
      <c r="B79" t="s" s="23">
        <v>190</v>
      </c>
      <c r="C79" t="s" s="24">
        <v>178</v>
      </c>
      <c r="D79" t="s" s="24">
        <v>191</v>
      </c>
      <c r="E79" s="25">
        <v>150</v>
      </c>
      <c r="F79" t="s" s="30">
        <v>111</v>
      </c>
      <c r="G79" s="27"/>
      <c r="H79" s="28">
        <v>11</v>
      </c>
      <c r="I79" s="28" cm="1">
        <f t="array" ref="I79">PRODUCT(E79*H79)</f>
        <v>1650</v>
      </c>
      <c r="J79" s="43"/>
      <c r="K79" s="31"/>
      <c r="L79" s="13"/>
      <c r="M79" s="13"/>
      <c r="N79" s="14"/>
    </row>
    <row r="80" ht="45" customHeight="1">
      <c r="A80" s="22">
        <v>103</v>
      </c>
      <c r="B80" t="s" s="23">
        <v>192</v>
      </c>
      <c r="C80" t="s" s="24">
        <v>178</v>
      </c>
      <c r="D80" t="s" s="24">
        <v>193</v>
      </c>
      <c r="E80" s="25">
        <v>120</v>
      </c>
      <c r="F80" t="s" s="30">
        <v>111</v>
      </c>
      <c r="G80" s="27"/>
      <c r="H80" s="28">
        <v>11</v>
      </c>
      <c r="I80" s="28" cm="1">
        <f t="array" ref="I80">PRODUCT(E80*H80)</f>
        <v>1320</v>
      </c>
      <c r="J80" s="43"/>
      <c r="K80" s="31"/>
      <c r="L80" s="13"/>
      <c r="M80" s="13"/>
      <c r="N80" s="14"/>
    </row>
    <row r="81" ht="45" customHeight="1">
      <c r="A81" s="22">
        <v>104</v>
      </c>
      <c r="B81" t="s" s="23">
        <v>194</v>
      </c>
      <c r="C81" t="s" s="24">
        <v>178</v>
      </c>
      <c r="D81" t="s" s="24">
        <v>195</v>
      </c>
      <c r="E81" s="25">
        <v>100</v>
      </c>
      <c r="F81" t="s" s="30">
        <v>111</v>
      </c>
      <c r="G81" s="27"/>
      <c r="H81" s="28">
        <v>12</v>
      </c>
      <c r="I81" s="28" cm="1">
        <f t="array" ref="I81">PRODUCT(E81*H81)</f>
        <v>1200</v>
      </c>
      <c r="J81" s="43"/>
      <c r="K81" s="31"/>
      <c r="L81" s="13"/>
      <c r="M81" s="13"/>
      <c r="N81" s="14"/>
    </row>
    <row r="82" ht="45" customHeight="1">
      <c r="A82" s="22">
        <v>105</v>
      </c>
      <c r="B82" t="s" s="23">
        <v>196</v>
      </c>
      <c r="C82" t="s" s="24">
        <v>197</v>
      </c>
      <c r="D82" t="s" s="24">
        <v>198</v>
      </c>
      <c r="E82" s="25">
        <v>10</v>
      </c>
      <c r="F82" t="s" s="30">
        <v>199</v>
      </c>
      <c r="G82" s="27"/>
      <c r="H82" s="28">
        <v>25.5</v>
      </c>
      <c r="I82" s="28" cm="1">
        <f t="array" ref="I82">PRODUCT(E82*H82)</f>
        <v>255</v>
      </c>
      <c r="J82" s="43"/>
      <c r="K82" s="31"/>
      <c r="L82" s="13"/>
      <c r="M82" s="13"/>
      <c r="N82" s="14"/>
    </row>
    <row r="83" ht="45" customHeight="1">
      <c r="A83" s="22">
        <v>106</v>
      </c>
      <c r="B83" t="s" s="23">
        <v>200</v>
      </c>
      <c r="C83" t="s" s="24">
        <v>201</v>
      </c>
      <c r="D83" t="s" s="24">
        <v>202</v>
      </c>
      <c r="E83" s="25">
        <v>50</v>
      </c>
      <c r="F83" t="s" s="30">
        <v>199</v>
      </c>
      <c r="G83" s="27"/>
      <c r="H83" s="28">
        <v>17.5</v>
      </c>
      <c r="I83" s="28" cm="1">
        <f t="array" ref="I83">PRODUCT(E83*H83)</f>
        <v>875</v>
      </c>
      <c r="J83" s="43"/>
      <c r="K83" s="31"/>
      <c r="L83" s="13"/>
      <c r="M83" s="13"/>
      <c r="N83" s="14"/>
    </row>
    <row r="84" ht="45" customHeight="1">
      <c r="A84" s="22">
        <v>107</v>
      </c>
      <c r="B84" t="s" s="23">
        <v>203</v>
      </c>
      <c r="C84" t="s" s="24">
        <v>201</v>
      </c>
      <c r="D84" t="s" s="24">
        <v>204</v>
      </c>
      <c r="E84" s="25">
        <v>50</v>
      </c>
      <c r="F84" t="s" s="30">
        <v>199</v>
      </c>
      <c r="G84" s="27"/>
      <c r="H84" s="28">
        <v>16.5</v>
      </c>
      <c r="I84" s="28" cm="1">
        <f t="array" ref="I84">PRODUCT(E84*H84)</f>
        <v>825</v>
      </c>
      <c r="J84" s="43"/>
      <c r="K84" s="31"/>
      <c r="L84" s="13"/>
      <c r="M84" s="13"/>
      <c r="N84" s="14"/>
    </row>
    <row r="85" ht="45" customHeight="1">
      <c r="A85" s="22">
        <v>108</v>
      </c>
      <c r="B85" t="s" s="23">
        <v>205</v>
      </c>
      <c r="C85" t="s" s="24">
        <v>206</v>
      </c>
      <c r="D85" t="s" s="24">
        <v>207</v>
      </c>
      <c r="E85" s="25">
        <v>50</v>
      </c>
      <c r="F85" t="s" s="30">
        <v>199</v>
      </c>
      <c r="G85" s="27"/>
      <c r="H85" s="28">
        <v>19</v>
      </c>
      <c r="I85" s="28" cm="1">
        <f t="array" ref="I85">PRODUCT(E85*H85)</f>
        <v>950</v>
      </c>
      <c r="J85" s="43"/>
      <c r="K85" s="31"/>
      <c r="L85" s="13"/>
      <c r="M85" s="13"/>
      <c r="N85" s="14"/>
    </row>
    <row r="86" ht="45" customHeight="1">
      <c r="A86" s="22">
        <v>109</v>
      </c>
      <c r="B86" t="s" s="23">
        <v>208</v>
      </c>
      <c r="C86" t="s" s="24">
        <v>206</v>
      </c>
      <c r="D86" t="s" s="24">
        <v>187</v>
      </c>
      <c r="E86" s="25">
        <v>50</v>
      </c>
      <c r="F86" t="s" s="30">
        <v>199</v>
      </c>
      <c r="G86" s="27"/>
      <c r="H86" s="28">
        <v>19</v>
      </c>
      <c r="I86" s="28" cm="1">
        <f t="array" ref="I86">PRODUCT(E86*H86)</f>
        <v>950</v>
      </c>
      <c r="J86" s="43"/>
      <c r="K86" s="31"/>
      <c r="L86" s="13"/>
      <c r="M86" s="13"/>
      <c r="N86" s="14"/>
    </row>
    <row r="87" ht="45" customHeight="1">
      <c r="A87" s="22">
        <v>110</v>
      </c>
      <c r="B87" t="s" s="23">
        <v>209</v>
      </c>
      <c r="C87" t="s" s="24">
        <v>210</v>
      </c>
      <c r="D87" t="s" s="24">
        <v>211</v>
      </c>
      <c r="E87" s="25">
        <v>100</v>
      </c>
      <c r="F87" t="s" s="30">
        <v>111</v>
      </c>
      <c r="G87" s="27"/>
      <c r="H87" s="28">
        <v>15.5</v>
      </c>
      <c r="I87" s="28" cm="1">
        <f t="array" ref="I87">PRODUCT(E87*H87)</f>
        <v>1550</v>
      </c>
      <c r="J87" s="43"/>
      <c r="K87" s="31"/>
      <c r="L87" s="13"/>
      <c r="M87" s="13"/>
      <c r="N87" s="14"/>
    </row>
    <row r="88" ht="45" customHeight="1">
      <c r="A88" s="22">
        <v>111</v>
      </c>
      <c r="B88" t="s" s="23">
        <v>212</v>
      </c>
      <c r="C88" t="s" s="24">
        <v>206</v>
      </c>
      <c r="D88" t="s" s="24">
        <v>213</v>
      </c>
      <c r="E88" s="25">
        <v>50</v>
      </c>
      <c r="F88" t="s" s="30">
        <v>199</v>
      </c>
      <c r="G88" s="27"/>
      <c r="H88" s="28">
        <v>19</v>
      </c>
      <c r="I88" s="28" cm="1">
        <f t="array" ref="I88">PRODUCT(E88*H88)</f>
        <v>950</v>
      </c>
      <c r="J88" s="43"/>
      <c r="K88" s="31"/>
      <c r="L88" s="13"/>
      <c r="M88" s="13"/>
      <c r="N88" s="14"/>
    </row>
    <row r="89" ht="45" customHeight="1">
      <c r="A89" s="22">
        <v>112</v>
      </c>
      <c r="B89" t="s" s="23">
        <v>214</v>
      </c>
      <c r="C89" t="s" s="24">
        <v>206</v>
      </c>
      <c r="D89" t="s" s="24">
        <v>131</v>
      </c>
      <c r="E89" s="25">
        <v>50</v>
      </c>
      <c r="F89" t="s" s="30">
        <v>199</v>
      </c>
      <c r="G89" s="27"/>
      <c r="H89" s="28">
        <v>19</v>
      </c>
      <c r="I89" s="28" cm="1">
        <f t="array" ref="I89">PRODUCT(E89*H89)</f>
        <v>950</v>
      </c>
      <c r="J89" s="43"/>
      <c r="K89" s="31"/>
      <c r="L89" s="13"/>
      <c r="M89" s="13"/>
      <c r="N89" s="14"/>
    </row>
    <row r="90" ht="45" customHeight="1">
      <c r="A90" s="22">
        <v>113</v>
      </c>
      <c r="B90" t="s" s="23">
        <v>215</v>
      </c>
      <c r="C90" t="s" s="24">
        <v>178</v>
      </c>
      <c r="D90" t="s" s="24">
        <v>216</v>
      </c>
      <c r="E90" s="25">
        <v>100</v>
      </c>
      <c r="F90" t="s" s="30">
        <v>199</v>
      </c>
      <c r="G90" s="27"/>
      <c r="H90" s="28">
        <v>15</v>
      </c>
      <c r="I90" s="28" cm="1">
        <f t="array" ref="I90">PRODUCT(E90*H90)</f>
        <v>1500</v>
      </c>
      <c r="J90" s="43"/>
      <c r="K90" s="31"/>
      <c r="L90" s="13"/>
      <c r="M90" s="13"/>
      <c r="N90" s="14"/>
    </row>
    <row r="91" ht="45" customHeight="1">
      <c r="A91" s="22">
        <v>114</v>
      </c>
      <c r="B91" t="s" s="23">
        <v>217</v>
      </c>
      <c r="C91" t="s" s="24">
        <v>218</v>
      </c>
      <c r="D91" t="s" s="24">
        <v>131</v>
      </c>
      <c r="E91" s="25">
        <v>100</v>
      </c>
      <c r="F91" t="s" s="30">
        <v>111</v>
      </c>
      <c r="G91" s="27"/>
      <c r="H91" s="28">
        <v>12.5</v>
      </c>
      <c r="I91" s="28" cm="1">
        <f t="array" ref="I91">PRODUCT(E91*H91)</f>
        <v>1250</v>
      </c>
      <c r="J91" s="43"/>
      <c r="K91" s="31"/>
      <c r="L91" s="13"/>
      <c r="M91" s="13"/>
      <c r="N91" s="14"/>
    </row>
    <row r="92" ht="45" customHeight="1">
      <c r="A92" s="22">
        <v>115</v>
      </c>
      <c r="B92" t="s" s="23">
        <v>219</v>
      </c>
      <c r="C92" t="s" s="24">
        <v>206</v>
      </c>
      <c r="D92" t="s" s="24">
        <v>220</v>
      </c>
      <c r="E92" s="25">
        <v>50</v>
      </c>
      <c r="F92" t="s" s="30">
        <v>199</v>
      </c>
      <c r="G92" s="27"/>
      <c r="H92" s="28">
        <v>17.5</v>
      </c>
      <c r="I92" s="28" cm="1">
        <f t="array" ref="I92">PRODUCT(E92*H92)</f>
        <v>875</v>
      </c>
      <c r="J92" s="43"/>
      <c r="K92" s="31"/>
      <c r="L92" s="13"/>
      <c r="M92" s="13"/>
      <c r="N92" s="14"/>
    </row>
    <row r="93" ht="45" customHeight="1">
      <c r="A93" s="22">
        <v>116</v>
      </c>
      <c r="B93" t="s" s="23">
        <v>221</v>
      </c>
      <c r="C93" t="s" s="24">
        <v>218</v>
      </c>
      <c r="D93" t="s" s="24">
        <v>222</v>
      </c>
      <c r="E93" s="25">
        <v>100</v>
      </c>
      <c r="F93" t="s" s="30">
        <v>111</v>
      </c>
      <c r="G93" s="27"/>
      <c r="H93" s="28">
        <v>9.5</v>
      </c>
      <c r="I93" s="28" cm="1">
        <f t="array" ref="I93">PRODUCT(E93*H93)</f>
        <v>950</v>
      </c>
      <c r="J93" s="43"/>
      <c r="K93" s="31"/>
      <c r="L93" s="13"/>
      <c r="M93" s="13"/>
      <c r="N93" s="14"/>
    </row>
    <row r="94" ht="45" customHeight="1">
      <c r="A94" s="22">
        <v>117</v>
      </c>
      <c r="B94" t="s" s="23">
        <v>223</v>
      </c>
      <c r="C94" t="s" s="24">
        <v>218</v>
      </c>
      <c r="D94" t="s" s="24">
        <v>224</v>
      </c>
      <c r="E94" s="25">
        <v>100</v>
      </c>
      <c r="F94" t="s" s="30">
        <v>111</v>
      </c>
      <c r="G94" s="27"/>
      <c r="H94" s="28">
        <v>9.5</v>
      </c>
      <c r="I94" s="28" cm="1">
        <f t="array" ref="I94">PRODUCT(E94*H94)</f>
        <v>950</v>
      </c>
      <c r="J94" s="43"/>
      <c r="K94" s="31"/>
      <c r="L94" s="13"/>
      <c r="M94" s="13"/>
      <c r="N94" s="14"/>
    </row>
    <row r="95" ht="45" customHeight="1">
      <c r="A95" s="22">
        <v>121</v>
      </c>
      <c r="B95" t="s" s="23">
        <v>225</v>
      </c>
      <c r="C95" t="s" s="24">
        <v>226</v>
      </c>
      <c r="D95" t="s" s="24">
        <v>227</v>
      </c>
      <c r="E95" s="25">
        <v>500</v>
      </c>
      <c r="F95" t="s" s="35">
        <v>228</v>
      </c>
      <c r="G95" s="27"/>
      <c r="H95" s="28">
        <v>12.5</v>
      </c>
      <c r="I95" s="28" cm="1">
        <f t="array" ref="I95">PRODUCT(E95*H95)</f>
        <v>6250</v>
      </c>
      <c r="J95" s="45"/>
      <c r="K95" s="31"/>
      <c r="L95" s="13"/>
      <c r="M95" s="13"/>
      <c r="N95" s="14"/>
    </row>
    <row r="96" ht="45" customHeight="1">
      <c r="A96" s="22">
        <v>122</v>
      </c>
      <c r="B96" t="s" s="23">
        <v>229</v>
      </c>
      <c r="C96" t="s" s="24">
        <v>226</v>
      </c>
      <c r="D96" t="s" s="24">
        <v>230</v>
      </c>
      <c r="E96" s="25">
        <v>500</v>
      </c>
      <c r="F96" t="s" s="35">
        <v>228</v>
      </c>
      <c r="G96" s="27"/>
      <c r="H96" s="28">
        <v>6.5</v>
      </c>
      <c r="I96" s="28" cm="1">
        <f t="array" ref="I96">PRODUCT(E96*H96)</f>
        <v>3250</v>
      </c>
      <c r="J96" s="46"/>
      <c r="K96" s="31"/>
      <c r="L96" s="13"/>
      <c r="M96" s="13"/>
      <c r="N96" s="14"/>
    </row>
    <row r="97" ht="45" customHeight="1">
      <c r="A97" s="22">
        <v>123</v>
      </c>
      <c r="B97" t="s" s="23">
        <v>231</v>
      </c>
      <c r="C97" t="s" s="24">
        <v>226</v>
      </c>
      <c r="D97" t="s" s="24">
        <v>232</v>
      </c>
      <c r="E97" s="25">
        <v>500</v>
      </c>
      <c r="F97" t="s" s="35">
        <v>228</v>
      </c>
      <c r="G97" s="27"/>
      <c r="H97" s="28">
        <v>6</v>
      </c>
      <c r="I97" s="28" cm="1">
        <f t="array" ref="I97">PRODUCT(E97*H97)</f>
        <v>3000</v>
      </c>
      <c r="J97" s="46"/>
      <c r="K97" s="31"/>
      <c r="L97" s="13"/>
      <c r="M97" s="13"/>
      <c r="N97" s="14"/>
    </row>
    <row r="98" ht="45" customHeight="1">
      <c r="A98" s="22">
        <v>124</v>
      </c>
      <c r="B98" t="s" s="23">
        <v>233</v>
      </c>
      <c r="C98" t="s" s="24">
        <v>226</v>
      </c>
      <c r="D98" t="s" s="24">
        <v>232</v>
      </c>
      <c r="E98" s="25">
        <v>500</v>
      </c>
      <c r="F98" t="s" s="35">
        <v>228</v>
      </c>
      <c r="G98" s="27"/>
      <c r="H98" s="28">
        <v>7.5</v>
      </c>
      <c r="I98" s="28" cm="1">
        <f t="array" ref="I98">PRODUCT(E98*H98)</f>
        <v>3750</v>
      </c>
      <c r="J98" s="46"/>
      <c r="K98" s="31"/>
      <c r="L98" s="13"/>
      <c r="M98" s="13"/>
      <c r="N98" s="14"/>
    </row>
    <row r="99" ht="45" customHeight="1">
      <c r="A99" s="22">
        <v>125</v>
      </c>
      <c r="B99" t="s" s="23">
        <v>234</v>
      </c>
      <c r="C99" t="s" s="24">
        <v>235</v>
      </c>
      <c r="D99" t="s" s="24">
        <v>236</v>
      </c>
      <c r="E99" s="25">
        <v>500</v>
      </c>
      <c r="F99" t="s" s="35">
        <v>228</v>
      </c>
      <c r="G99" s="27"/>
      <c r="H99" s="28">
        <v>13.5</v>
      </c>
      <c r="I99" s="28" cm="1">
        <f t="array" ref="I99">PRODUCT(E99*H99)</f>
        <v>6750</v>
      </c>
      <c r="J99" s="46"/>
      <c r="K99" s="31"/>
      <c r="L99" s="13"/>
      <c r="M99" s="13"/>
      <c r="N99" s="14"/>
    </row>
    <row r="100" ht="45" customHeight="1">
      <c r="A100" s="22">
        <v>126</v>
      </c>
      <c r="B100" t="s" s="23">
        <v>237</v>
      </c>
      <c r="C100" t="s" s="24">
        <v>235</v>
      </c>
      <c r="D100" t="s" s="24">
        <v>238</v>
      </c>
      <c r="E100" s="25">
        <v>500</v>
      </c>
      <c r="F100" t="s" s="35">
        <v>228</v>
      </c>
      <c r="G100" s="27"/>
      <c r="H100" s="28">
        <v>13.5</v>
      </c>
      <c r="I100" s="28" cm="1">
        <f t="array" ref="I100">PRODUCT(E100*H100)</f>
        <v>6750</v>
      </c>
      <c r="J100" s="46"/>
      <c r="K100" s="31"/>
      <c r="L100" s="13"/>
      <c r="M100" s="13"/>
      <c r="N100" s="14"/>
    </row>
    <row r="101" ht="45" customHeight="1">
      <c r="A101" s="22">
        <v>127</v>
      </c>
      <c r="B101" t="s" s="23">
        <v>239</v>
      </c>
      <c r="C101" t="s" s="24">
        <v>235</v>
      </c>
      <c r="D101" t="s" s="24">
        <v>240</v>
      </c>
      <c r="E101" s="25">
        <v>500</v>
      </c>
      <c r="F101" t="s" s="35">
        <v>228</v>
      </c>
      <c r="G101" s="27"/>
      <c r="H101" s="28">
        <v>8</v>
      </c>
      <c r="I101" s="28" cm="1">
        <f t="array" ref="I101">PRODUCT(E101*H101)</f>
        <v>4000</v>
      </c>
      <c r="J101" s="47"/>
      <c r="K101" s="31"/>
      <c r="L101" s="13"/>
      <c r="M101" s="13"/>
      <c r="N101" s="14"/>
    </row>
    <row r="102" ht="45" customHeight="1">
      <c r="A102" s="22">
        <v>130</v>
      </c>
      <c r="B102" t="s" s="23">
        <v>241</v>
      </c>
      <c r="C102" t="s" s="24">
        <v>242</v>
      </c>
      <c r="D102" t="s" s="24">
        <v>243</v>
      </c>
      <c r="E102" s="34">
        <v>50</v>
      </c>
      <c r="F102" t="s" s="30">
        <v>111</v>
      </c>
      <c r="G102" s="27"/>
      <c r="H102" s="28">
        <v>32.5</v>
      </c>
      <c r="I102" s="28" cm="1">
        <f t="array" ref="I102">PRODUCT(E102*H102)</f>
        <v>1625</v>
      </c>
      <c r="J102" s="27"/>
      <c r="K102" s="31"/>
      <c r="L102" s="13"/>
      <c r="M102" s="13"/>
      <c r="N102" s="14"/>
    </row>
    <row r="103" ht="45" customHeight="1">
      <c r="A103" s="22">
        <v>131</v>
      </c>
      <c r="B103" t="s" s="23">
        <v>244</v>
      </c>
      <c r="C103" t="s" s="24">
        <v>242</v>
      </c>
      <c r="D103" t="s" s="24">
        <v>195</v>
      </c>
      <c r="E103" s="25">
        <v>50</v>
      </c>
      <c r="F103" t="s" s="30">
        <v>111</v>
      </c>
      <c r="G103" s="27"/>
      <c r="H103" s="28">
        <v>18.5</v>
      </c>
      <c r="I103" s="28" cm="1">
        <f t="array" ref="I103">PRODUCT(E103*H103)</f>
        <v>925</v>
      </c>
      <c r="J103" s="27"/>
      <c r="K103" s="31"/>
      <c r="L103" s="13"/>
      <c r="M103" s="13"/>
      <c r="N103" s="14"/>
    </row>
    <row r="104" ht="45" customHeight="1">
      <c r="A104" s="22">
        <v>136</v>
      </c>
      <c r="B104" t="s" s="23">
        <v>245</v>
      </c>
      <c r="C104" t="s" s="24">
        <v>109</v>
      </c>
      <c r="D104" t="s" s="24">
        <v>246</v>
      </c>
      <c r="E104" s="25">
        <v>150</v>
      </c>
      <c r="F104" t="s" s="30">
        <v>111</v>
      </c>
      <c r="G104" s="27"/>
      <c r="H104" s="28">
        <v>7.5</v>
      </c>
      <c r="I104" s="28" cm="1">
        <f t="array" ref="I104">PRODUCT(E104*H104)</f>
        <v>1125</v>
      </c>
      <c r="J104" t="s" s="42">
        <v>115</v>
      </c>
      <c r="K104" s="31"/>
      <c r="L104" s="13"/>
      <c r="M104" s="13"/>
      <c r="N104" s="14"/>
    </row>
    <row r="105" ht="45" customHeight="1">
      <c r="A105" s="22">
        <v>137</v>
      </c>
      <c r="B105" t="s" s="23">
        <v>247</v>
      </c>
      <c r="C105" t="s" s="24">
        <v>109</v>
      </c>
      <c r="D105" t="s" s="24">
        <v>248</v>
      </c>
      <c r="E105" s="25">
        <v>50</v>
      </c>
      <c r="F105" t="s" s="30">
        <v>111</v>
      </c>
      <c r="G105" s="27"/>
      <c r="H105" s="28">
        <v>15</v>
      </c>
      <c r="I105" s="28" cm="1">
        <f t="array" ref="I105">PRODUCT(E105*H105)</f>
        <v>750</v>
      </c>
      <c r="J105" s="43"/>
      <c r="K105" s="31"/>
      <c r="L105" s="13"/>
      <c r="M105" s="13"/>
      <c r="N105" s="14"/>
    </row>
    <row r="106" ht="45" customHeight="1">
      <c r="A106" s="22">
        <v>138</v>
      </c>
      <c r="B106" t="s" s="23">
        <v>249</v>
      </c>
      <c r="C106" t="s" s="24">
        <v>109</v>
      </c>
      <c r="D106" t="s" s="24">
        <v>248</v>
      </c>
      <c r="E106" s="25">
        <v>50</v>
      </c>
      <c r="F106" t="s" s="30">
        <v>111</v>
      </c>
      <c r="G106" s="27"/>
      <c r="H106" s="28">
        <v>18.5</v>
      </c>
      <c r="I106" s="28" cm="1">
        <f t="array" ref="I106">PRODUCT(E106*H106)</f>
        <v>925</v>
      </c>
      <c r="J106" s="43"/>
      <c r="K106" s="31"/>
      <c r="L106" s="13"/>
      <c r="M106" s="13"/>
      <c r="N106" s="14"/>
    </row>
    <row r="107" ht="45" customHeight="1">
      <c r="A107" s="22">
        <v>139</v>
      </c>
      <c r="B107" t="s" s="23">
        <v>250</v>
      </c>
      <c r="C107" t="s" s="24">
        <v>109</v>
      </c>
      <c r="D107" t="s" s="24">
        <v>251</v>
      </c>
      <c r="E107" s="25">
        <v>50</v>
      </c>
      <c r="F107" t="s" s="30">
        <v>111</v>
      </c>
      <c r="G107" s="27"/>
      <c r="H107" s="28">
        <v>8</v>
      </c>
      <c r="I107" s="28" cm="1">
        <f t="array" ref="I107">PRODUCT(E107*H107)</f>
        <v>400</v>
      </c>
      <c r="J107" s="43"/>
      <c r="K107" s="31"/>
      <c r="L107" s="13"/>
      <c r="M107" s="13"/>
      <c r="N107" s="14"/>
    </row>
    <row r="108" ht="45" customHeight="1">
      <c r="A108" s="22">
        <v>140</v>
      </c>
      <c r="B108" t="s" s="23">
        <v>252</v>
      </c>
      <c r="C108" t="s" s="24">
        <v>109</v>
      </c>
      <c r="D108" t="s" s="24">
        <v>253</v>
      </c>
      <c r="E108" s="25">
        <v>50</v>
      </c>
      <c r="F108" t="s" s="30">
        <v>111</v>
      </c>
      <c r="G108" s="27"/>
      <c r="H108" s="28">
        <v>7.5</v>
      </c>
      <c r="I108" s="28" cm="1">
        <f t="array" ref="I108">PRODUCT(E108*H108)</f>
        <v>375</v>
      </c>
      <c r="J108" s="43"/>
      <c r="K108" s="31"/>
      <c r="L108" s="13"/>
      <c r="M108" s="13"/>
      <c r="N108" s="14"/>
    </row>
    <row r="109" ht="45" customHeight="1">
      <c r="A109" s="48">
        <v>141</v>
      </c>
      <c r="B109" t="s" s="49">
        <v>254</v>
      </c>
      <c r="C109" t="s" s="30">
        <v>109</v>
      </c>
      <c r="D109" t="s" s="30">
        <v>255</v>
      </c>
      <c r="E109" s="34">
        <v>50</v>
      </c>
      <c r="F109" t="s" s="30">
        <v>111</v>
      </c>
      <c r="G109" s="27"/>
      <c r="H109" s="28">
        <v>9.5</v>
      </c>
      <c r="I109" s="28" cm="1">
        <f t="array" ref="I109">PRODUCT(E109*H109)</f>
        <v>475</v>
      </c>
      <c r="J109" s="43"/>
      <c r="K109" s="31"/>
      <c r="L109" s="13"/>
      <c r="M109" s="13"/>
      <c r="N109" s="14"/>
    </row>
    <row r="110" ht="45" customHeight="1">
      <c r="A110" s="48">
        <v>142</v>
      </c>
      <c r="B110" t="s" s="49">
        <v>256</v>
      </c>
      <c r="C110" t="s" s="30">
        <v>109</v>
      </c>
      <c r="D110" t="s" s="30">
        <v>257</v>
      </c>
      <c r="E110" s="34">
        <v>50</v>
      </c>
      <c r="F110" t="s" s="30">
        <v>111</v>
      </c>
      <c r="G110" s="27"/>
      <c r="H110" s="28">
        <v>17.5</v>
      </c>
      <c r="I110" s="28" cm="1">
        <f t="array" ref="I110">PRODUCT(E110*H110)</f>
        <v>875</v>
      </c>
      <c r="J110" s="43"/>
      <c r="K110" s="31"/>
      <c r="L110" s="13"/>
      <c r="M110" s="13"/>
      <c r="N110" s="14"/>
    </row>
    <row r="111" ht="45" customHeight="1">
      <c r="A111" s="48">
        <v>143</v>
      </c>
      <c r="B111" t="s" s="49">
        <v>258</v>
      </c>
      <c r="C111" t="s" s="30">
        <v>109</v>
      </c>
      <c r="D111" t="s" s="30">
        <v>259</v>
      </c>
      <c r="E111" s="34">
        <v>50</v>
      </c>
      <c r="F111" t="s" s="30">
        <v>111</v>
      </c>
      <c r="G111" s="27"/>
      <c r="H111" s="28">
        <v>13.5</v>
      </c>
      <c r="I111" s="28" cm="1">
        <f t="array" ref="I111">PRODUCT(E111*H111)</f>
        <v>675</v>
      </c>
      <c r="J111" s="43"/>
      <c r="K111" s="31"/>
      <c r="L111" s="13"/>
      <c r="M111" s="13"/>
      <c r="N111" s="14"/>
    </row>
    <row r="112" ht="45" customHeight="1">
      <c r="A112" s="48">
        <v>144</v>
      </c>
      <c r="B112" t="s" s="49">
        <v>260</v>
      </c>
      <c r="C112" t="s" s="30">
        <v>109</v>
      </c>
      <c r="D112" t="s" s="30">
        <v>259</v>
      </c>
      <c r="E112" s="34">
        <v>50</v>
      </c>
      <c r="F112" t="s" s="30">
        <v>111</v>
      </c>
      <c r="G112" s="27"/>
      <c r="H112" s="28">
        <v>5.5</v>
      </c>
      <c r="I112" s="28" cm="1">
        <f t="array" ref="I112">PRODUCT(E112*H112)</f>
        <v>275</v>
      </c>
      <c r="J112" s="43"/>
      <c r="K112" s="31"/>
      <c r="L112" s="13"/>
      <c r="M112" s="13"/>
      <c r="N112" s="14"/>
    </row>
    <row r="113" ht="45" customHeight="1">
      <c r="A113" s="48">
        <v>145</v>
      </c>
      <c r="B113" t="s" s="49">
        <v>261</v>
      </c>
      <c r="C113" t="s" s="30">
        <v>109</v>
      </c>
      <c r="D113" t="s" s="30">
        <v>262</v>
      </c>
      <c r="E113" s="34">
        <v>50</v>
      </c>
      <c r="F113" t="s" s="30">
        <v>111</v>
      </c>
      <c r="G113" s="27"/>
      <c r="H113" s="28">
        <v>20.5</v>
      </c>
      <c r="I113" s="28" cm="1">
        <f t="array" ref="I113">PRODUCT(E113*H113)</f>
        <v>1025</v>
      </c>
      <c r="J113" s="43"/>
      <c r="K113" s="31"/>
      <c r="L113" s="13"/>
      <c r="M113" s="13"/>
      <c r="N113" s="14"/>
    </row>
    <row r="114" ht="45" customHeight="1">
      <c r="A114" s="48">
        <v>146</v>
      </c>
      <c r="B114" t="s" s="49">
        <v>263</v>
      </c>
      <c r="C114" t="s" s="30">
        <v>109</v>
      </c>
      <c r="D114" t="s" s="30">
        <v>264</v>
      </c>
      <c r="E114" s="34">
        <v>50</v>
      </c>
      <c r="F114" t="s" s="30">
        <v>111</v>
      </c>
      <c r="G114" s="27"/>
      <c r="H114" s="28">
        <v>10.5</v>
      </c>
      <c r="I114" s="28" cm="1">
        <f t="array" ref="I114">PRODUCT(E114*H114)</f>
        <v>525</v>
      </c>
      <c r="J114" s="43"/>
      <c r="K114" s="31"/>
      <c r="L114" s="13"/>
      <c r="M114" s="13"/>
      <c r="N114" s="14"/>
    </row>
    <row r="115" ht="45" customHeight="1">
      <c r="A115" s="48">
        <v>147</v>
      </c>
      <c r="B115" t="s" s="49">
        <v>265</v>
      </c>
      <c r="C115" t="s" s="30">
        <v>109</v>
      </c>
      <c r="D115" t="s" s="30">
        <v>224</v>
      </c>
      <c r="E115" s="34">
        <v>50</v>
      </c>
      <c r="F115" t="s" s="30">
        <v>111</v>
      </c>
      <c r="G115" s="27"/>
      <c r="H115" s="28">
        <v>12.5</v>
      </c>
      <c r="I115" s="28" cm="1">
        <f t="array" ref="I115">PRODUCT(E115*H115)</f>
        <v>625</v>
      </c>
      <c r="J115" s="43"/>
      <c r="K115" s="31"/>
      <c r="L115" s="13"/>
      <c r="M115" s="13"/>
      <c r="N115" s="14"/>
    </row>
    <row r="116" ht="45" customHeight="1">
      <c r="A116" s="48">
        <v>148</v>
      </c>
      <c r="B116" t="s" s="49">
        <v>266</v>
      </c>
      <c r="C116" t="s" s="30">
        <v>109</v>
      </c>
      <c r="D116" t="s" s="30">
        <v>267</v>
      </c>
      <c r="E116" s="34">
        <v>50</v>
      </c>
      <c r="F116" t="s" s="30">
        <v>111</v>
      </c>
      <c r="G116" s="27"/>
      <c r="H116" s="28">
        <v>7.5</v>
      </c>
      <c r="I116" s="28" cm="1">
        <f t="array" ref="I116">PRODUCT(E116*H116)</f>
        <v>375</v>
      </c>
      <c r="J116" s="43"/>
      <c r="K116" s="31"/>
      <c r="L116" s="13"/>
      <c r="M116" s="13"/>
      <c r="N116" s="14"/>
    </row>
    <row r="117" ht="45" customHeight="1">
      <c r="A117" s="48">
        <v>149</v>
      </c>
      <c r="B117" t="s" s="49">
        <v>268</v>
      </c>
      <c r="C117" t="s" s="30">
        <v>109</v>
      </c>
      <c r="D117" t="s" s="30">
        <v>267</v>
      </c>
      <c r="E117" s="34">
        <v>50</v>
      </c>
      <c r="F117" t="s" s="30">
        <v>111</v>
      </c>
      <c r="G117" s="27"/>
      <c r="H117" s="28">
        <v>12.5</v>
      </c>
      <c r="I117" s="28" cm="1">
        <f t="array" ref="I117">PRODUCT(E117*H117)</f>
        <v>625</v>
      </c>
      <c r="J117" s="43"/>
      <c r="K117" s="31"/>
      <c r="L117" s="13"/>
      <c r="M117" s="13"/>
      <c r="N117" s="14"/>
    </row>
    <row r="118" ht="45" customHeight="1">
      <c r="A118" s="48">
        <v>150</v>
      </c>
      <c r="B118" t="s" s="49">
        <v>269</v>
      </c>
      <c r="C118" t="s" s="30">
        <v>109</v>
      </c>
      <c r="D118" t="s" s="30">
        <v>270</v>
      </c>
      <c r="E118" s="34">
        <v>50</v>
      </c>
      <c r="F118" t="s" s="30">
        <v>111</v>
      </c>
      <c r="G118" s="27"/>
      <c r="H118" s="28">
        <v>8</v>
      </c>
      <c r="I118" s="28" cm="1">
        <f t="array" ref="I118">PRODUCT(E118*H118)</f>
        <v>400</v>
      </c>
      <c r="J118" s="43"/>
      <c r="K118" s="31"/>
      <c r="L118" s="13"/>
      <c r="M118" s="13"/>
      <c r="N118" s="14"/>
    </row>
    <row r="119" ht="45" customHeight="1">
      <c r="A119" s="48">
        <v>151</v>
      </c>
      <c r="B119" t="s" s="49">
        <v>271</v>
      </c>
      <c r="C119" t="s" s="30">
        <v>109</v>
      </c>
      <c r="D119" t="s" s="30">
        <v>272</v>
      </c>
      <c r="E119" s="34">
        <v>50</v>
      </c>
      <c r="F119" t="s" s="30">
        <v>111</v>
      </c>
      <c r="G119" s="27"/>
      <c r="H119" s="28">
        <v>8.5</v>
      </c>
      <c r="I119" s="28" cm="1">
        <f t="array" ref="I119">PRODUCT(E119*H119)</f>
        <v>425</v>
      </c>
      <c r="J119" s="43"/>
      <c r="K119" s="31"/>
      <c r="L119" s="13"/>
      <c r="M119" s="13"/>
      <c r="N119" s="14"/>
    </row>
    <row r="120" ht="45" customHeight="1">
      <c r="A120" s="48">
        <v>152</v>
      </c>
      <c r="B120" t="s" s="49">
        <v>273</v>
      </c>
      <c r="C120" t="s" s="30">
        <v>109</v>
      </c>
      <c r="D120" t="s" s="30">
        <v>274</v>
      </c>
      <c r="E120" s="34">
        <v>100</v>
      </c>
      <c r="F120" t="s" s="30">
        <v>111</v>
      </c>
      <c r="G120" s="27"/>
      <c r="H120" s="28">
        <v>16.5</v>
      </c>
      <c r="I120" s="28" cm="1">
        <f t="array" ref="I120">PRODUCT(E120*H120)</f>
        <v>1650</v>
      </c>
      <c r="J120" s="43"/>
      <c r="K120" s="31"/>
      <c r="L120" s="13"/>
      <c r="M120" s="13"/>
      <c r="N120" s="14"/>
    </row>
    <row r="121" ht="45" customHeight="1">
      <c r="A121" s="48">
        <v>153</v>
      </c>
      <c r="B121" t="s" s="49">
        <v>275</v>
      </c>
      <c r="C121" t="s" s="30">
        <v>109</v>
      </c>
      <c r="D121" t="s" s="30">
        <v>276</v>
      </c>
      <c r="E121" s="34">
        <v>50</v>
      </c>
      <c r="F121" t="s" s="30">
        <v>111</v>
      </c>
      <c r="G121" s="27"/>
      <c r="H121" s="28">
        <v>8</v>
      </c>
      <c r="I121" s="28" cm="1">
        <f t="array" ref="I121">PRODUCT(E121*H121)</f>
        <v>400</v>
      </c>
      <c r="J121" s="43"/>
      <c r="K121" s="31"/>
      <c r="L121" s="13"/>
      <c r="M121" s="13"/>
      <c r="N121" s="14"/>
    </row>
    <row r="122" ht="45" customHeight="1">
      <c r="A122" s="48">
        <v>154</v>
      </c>
      <c r="B122" t="s" s="49">
        <v>277</v>
      </c>
      <c r="C122" t="s" s="30">
        <v>109</v>
      </c>
      <c r="D122" t="s" s="30">
        <v>278</v>
      </c>
      <c r="E122" s="34">
        <v>50</v>
      </c>
      <c r="F122" t="s" s="30">
        <v>111</v>
      </c>
      <c r="G122" s="27"/>
      <c r="H122" s="28">
        <v>9.5</v>
      </c>
      <c r="I122" s="28" cm="1">
        <f t="array" ref="I122">PRODUCT(E122*H122)</f>
        <v>475</v>
      </c>
      <c r="J122" s="43"/>
      <c r="K122" s="31"/>
      <c r="L122" s="13"/>
      <c r="M122" s="13"/>
      <c r="N122" s="14"/>
    </row>
    <row r="123" ht="45" customHeight="1">
      <c r="A123" s="48">
        <v>155</v>
      </c>
      <c r="B123" t="s" s="49">
        <v>279</v>
      </c>
      <c r="C123" t="s" s="30">
        <v>109</v>
      </c>
      <c r="D123" t="s" s="30">
        <v>280</v>
      </c>
      <c r="E123" s="34">
        <v>50</v>
      </c>
      <c r="F123" t="s" s="30">
        <v>111</v>
      </c>
      <c r="G123" s="27"/>
      <c r="H123" s="28">
        <v>7.5</v>
      </c>
      <c r="I123" s="28" cm="1">
        <f t="array" ref="I123">PRODUCT(E123*H123)</f>
        <v>375</v>
      </c>
      <c r="J123" s="43"/>
      <c r="K123" s="31"/>
      <c r="L123" s="13"/>
      <c r="M123" s="13"/>
      <c r="N123" s="14"/>
    </row>
    <row r="124" ht="20.05" customHeight="1">
      <c r="A124" s="50"/>
      <c r="B124" s="51"/>
      <c r="C124" s="26"/>
      <c r="D124" s="26"/>
      <c r="E124" s="26"/>
      <c r="F124" s="26"/>
      <c r="G124" s="27"/>
      <c r="H124" s="28"/>
      <c r="I124" s="28" cm="1">
        <f t="array" ref="I124">SUM(I3:I123)</f>
        <v>239885</v>
      </c>
      <c r="J124" s="26"/>
      <c r="K124" s="12"/>
      <c r="L124" s="13"/>
      <c r="M124" s="13"/>
      <c r="N124" s="14"/>
    </row>
    <row r="125" ht="20.05" customHeight="1">
      <c r="A125" s="50"/>
      <c r="B125" s="51"/>
      <c r="C125" s="26"/>
      <c r="D125" s="26"/>
      <c r="E125" s="26"/>
      <c r="F125" s="26"/>
      <c r="G125" s="27"/>
      <c r="H125" s="27"/>
      <c r="I125" t="s" s="36">
        <v>281</v>
      </c>
      <c r="J125" s="26"/>
      <c r="K125" s="12"/>
      <c r="L125" s="13"/>
      <c r="M125" s="13"/>
      <c r="N125" s="14"/>
    </row>
    <row r="126" ht="20.05" customHeight="1">
      <c r="A126" s="50"/>
      <c r="B126" s="51"/>
      <c r="C126" s="26"/>
      <c r="D126" s="26"/>
      <c r="E126" s="26"/>
      <c r="F126" s="26"/>
      <c r="G126" s="27"/>
      <c r="H126" s="28"/>
      <c r="I126" s="28"/>
      <c r="J126" s="26"/>
      <c r="K126" s="12"/>
      <c r="L126" s="13"/>
      <c r="M126" s="13"/>
      <c r="N126" s="14"/>
    </row>
    <row r="127" ht="20.05" customHeight="1">
      <c r="A127" s="50"/>
      <c r="B127" s="51"/>
      <c r="C127" s="26"/>
      <c r="D127" s="26"/>
      <c r="E127" s="26"/>
      <c r="F127" s="26"/>
      <c r="G127" s="27"/>
      <c r="H127" s="28"/>
      <c r="I127" s="28"/>
      <c r="J127" s="26"/>
      <c r="K127" s="12"/>
      <c r="L127" s="13"/>
      <c r="M127" s="13"/>
      <c r="N127" s="14"/>
    </row>
    <row r="128" ht="20.05" customHeight="1">
      <c r="A128" s="50"/>
      <c r="B128" s="51"/>
      <c r="C128" s="26"/>
      <c r="D128" s="26"/>
      <c r="E128" s="26"/>
      <c r="F128" s="26"/>
      <c r="G128" s="27"/>
      <c r="H128" s="28"/>
      <c r="I128" s="28"/>
      <c r="J128" s="26"/>
      <c r="K128" s="12"/>
      <c r="L128" s="13"/>
      <c r="M128" s="13"/>
      <c r="N128" s="14"/>
    </row>
    <row r="129" ht="20.05" customHeight="1">
      <c r="A129" s="50"/>
      <c r="B129" s="51"/>
      <c r="C129" s="26"/>
      <c r="D129" s="26"/>
      <c r="E129" s="26"/>
      <c r="F129" s="26"/>
      <c r="G129" s="27"/>
      <c r="H129" s="28"/>
      <c r="I129" s="28"/>
      <c r="J129" s="26"/>
      <c r="K129" s="12"/>
      <c r="L129" s="13"/>
      <c r="M129" s="13"/>
      <c r="N129" s="14"/>
    </row>
    <row r="130" ht="20.05" customHeight="1">
      <c r="A130" s="50"/>
      <c r="B130" s="51"/>
      <c r="C130" s="26"/>
      <c r="D130" s="26"/>
      <c r="E130" s="26"/>
      <c r="F130" s="26"/>
      <c r="G130" s="27"/>
      <c r="H130" s="28"/>
      <c r="I130" s="28"/>
      <c r="J130" s="26"/>
      <c r="K130" s="12"/>
      <c r="L130" s="13"/>
      <c r="M130" s="13"/>
      <c r="N130" s="14"/>
    </row>
    <row r="131" ht="20.05" customHeight="1">
      <c r="A131" s="50"/>
      <c r="B131" s="51"/>
      <c r="C131" s="26"/>
      <c r="D131" s="26"/>
      <c r="E131" s="26"/>
      <c r="F131" s="26"/>
      <c r="G131" s="27"/>
      <c r="H131" s="28"/>
      <c r="I131" s="28"/>
      <c r="J131" s="26"/>
      <c r="K131" s="12"/>
      <c r="L131" s="13"/>
      <c r="M131" s="13"/>
      <c r="N131" s="14"/>
    </row>
    <row r="132" ht="20.05" customHeight="1">
      <c r="A132" s="50"/>
      <c r="B132" s="51"/>
      <c r="C132" s="26"/>
      <c r="D132" s="26"/>
      <c r="E132" s="26"/>
      <c r="F132" s="26"/>
      <c r="G132" s="27"/>
      <c r="H132" s="28"/>
      <c r="I132" s="28"/>
      <c r="J132" s="26"/>
      <c r="K132" s="12"/>
      <c r="L132" s="13"/>
      <c r="M132" s="13"/>
      <c r="N132" s="14"/>
    </row>
    <row r="133" ht="20.05" customHeight="1">
      <c r="A133" s="50"/>
      <c r="B133" s="51"/>
      <c r="C133" s="26"/>
      <c r="D133" s="26"/>
      <c r="E133" s="26"/>
      <c r="F133" s="26"/>
      <c r="G133" s="27"/>
      <c r="H133" s="28"/>
      <c r="I133" s="28"/>
      <c r="J133" s="27"/>
      <c r="K133" s="12"/>
      <c r="L133" s="13"/>
      <c r="M133" s="13"/>
      <c r="N133" s="14"/>
    </row>
    <row r="134" ht="20.05" customHeight="1">
      <c r="A134" s="50"/>
      <c r="B134" s="51"/>
      <c r="C134" s="26"/>
      <c r="D134" s="26"/>
      <c r="E134" s="26"/>
      <c r="F134" s="26"/>
      <c r="G134" s="27"/>
      <c r="H134" s="28"/>
      <c r="I134" s="28"/>
      <c r="J134" s="27"/>
      <c r="K134" s="12"/>
      <c r="L134" s="13"/>
      <c r="M134" s="13"/>
      <c r="N134" s="14"/>
    </row>
    <row r="135" ht="20.05" customHeight="1">
      <c r="A135" s="50"/>
      <c r="B135" s="51"/>
      <c r="C135" s="26"/>
      <c r="D135" s="26"/>
      <c r="E135" s="26"/>
      <c r="F135" s="26"/>
      <c r="G135" s="27"/>
      <c r="H135" s="28"/>
      <c r="I135" s="28"/>
      <c r="J135" s="27"/>
      <c r="K135" s="12"/>
      <c r="L135" s="13"/>
      <c r="M135" s="13"/>
      <c r="N135" s="14"/>
    </row>
    <row r="136" ht="20.05" customHeight="1">
      <c r="A136" s="50"/>
      <c r="B136" s="51"/>
      <c r="C136" s="26"/>
      <c r="D136" s="26"/>
      <c r="E136" s="26"/>
      <c r="F136" s="26"/>
      <c r="G136" s="27"/>
      <c r="H136" s="28"/>
      <c r="I136" s="28"/>
      <c r="J136" s="27"/>
      <c r="K136" s="12"/>
      <c r="L136" s="13"/>
      <c r="M136" s="13"/>
      <c r="N136" s="14"/>
    </row>
    <row r="137" ht="20.05" customHeight="1">
      <c r="A137" s="50"/>
      <c r="B137" s="51"/>
      <c r="C137" s="26"/>
      <c r="D137" s="26"/>
      <c r="E137" s="26"/>
      <c r="F137" s="26"/>
      <c r="G137" s="27"/>
      <c r="H137" s="28"/>
      <c r="I137" s="28"/>
      <c r="J137" s="27"/>
      <c r="K137" s="12"/>
      <c r="L137" s="13"/>
      <c r="M137" s="13"/>
      <c r="N137" s="14"/>
    </row>
    <row r="138" ht="20.05" customHeight="1">
      <c r="A138" s="50"/>
      <c r="B138" s="51"/>
      <c r="C138" s="26"/>
      <c r="D138" s="26"/>
      <c r="E138" s="26"/>
      <c r="F138" s="26"/>
      <c r="G138" s="27"/>
      <c r="H138" s="28"/>
      <c r="I138" s="28"/>
      <c r="J138" s="27"/>
      <c r="K138" s="12"/>
      <c r="L138" s="13"/>
      <c r="M138" s="13"/>
      <c r="N138" s="14"/>
    </row>
    <row r="139" ht="20.05" customHeight="1">
      <c r="A139" s="50"/>
      <c r="B139" s="51"/>
      <c r="C139" s="26"/>
      <c r="D139" s="26"/>
      <c r="E139" s="26"/>
      <c r="F139" s="26"/>
      <c r="G139" s="27"/>
      <c r="H139" s="28"/>
      <c r="I139" s="28"/>
      <c r="J139" s="27"/>
      <c r="K139" s="12"/>
      <c r="L139" s="13"/>
      <c r="M139" s="13"/>
      <c r="N139" s="14"/>
    </row>
    <row r="140" ht="20.05" customHeight="1">
      <c r="A140" s="50"/>
      <c r="B140" s="51"/>
      <c r="C140" s="26"/>
      <c r="D140" s="26"/>
      <c r="E140" s="26"/>
      <c r="F140" s="26"/>
      <c r="G140" s="27"/>
      <c r="H140" s="28"/>
      <c r="I140" s="28"/>
      <c r="J140" s="27"/>
      <c r="K140" s="12"/>
      <c r="L140" s="13"/>
      <c r="M140" s="13"/>
      <c r="N140" s="14"/>
    </row>
    <row r="141" ht="20.05" customHeight="1">
      <c r="A141" s="50"/>
      <c r="B141" s="51"/>
      <c r="C141" s="26"/>
      <c r="D141" s="26"/>
      <c r="E141" s="26"/>
      <c r="F141" s="26"/>
      <c r="G141" s="27"/>
      <c r="H141" s="28"/>
      <c r="I141" s="28"/>
      <c r="J141" s="27"/>
      <c r="K141" s="12"/>
      <c r="L141" s="13"/>
      <c r="M141" s="13"/>
      <c r="N141" s="14"/>
    </row>
    <row r="142" ht="20.05" customHeight="1">
      <c r="A142" s="50"/>
      <c r="B142" s="51"/>
      <c r="C142" s="26"/>
      <c r="D142" s="26"/>
      <c r="E142" s="26"/>
      <c r="F142" s="26"/>
      <c r="G142" s="27"/>
      <c r="H142" s="28"/>
      <c r="I142" s="28"/>
      <c r="J142" s="27"/>
      <c r="K142" s="12"/>
      <c r="L142" s="13"/>
      <c r="M142" s="13"/>
      <c r="N142" s="14"/>
    </row>
    <row r="143" ht="20.05" customHeight="1">
      <c r="A143" s="50"/>
      <c r="B143" s="51"/>
      <c r="C143" s="26"/>
      <c r="D143" s="26"/>
      <c r="E143" s="26"/>
      <c r="F143" s="26"/>
      <c r="G143" s="27"/>
      <c r="H143" s="28"/>
      <c r="I143" s="28"/>
      <c r="J143" s="27"/>
      <c r="K143" s="12"/>
      <c r="L143" s="13"/>
      <c r="M143" s="13"/>
      <c r="N143" s="14"/>
    </row>
    <row r="144" ht="20.05" customHeight="1">
      <c r="A144" s="50"/>
      <c r="B144" s="51"/>
      <c r="C144" s="26"/>
      <c r="D144" s="26"/>
      <c r="E144" s="26"/>
      <c r="F144" s="26"/>
      <c r="G144" s="27"/>
      <c r="H144" s="28"/>
      <c r="I144" s="28"/>
      <c r="J144" s="27"/>
      <c r="K144" s="12"/>
      <c r="L144" s="13"/>
      <c r="M144" s="13"/>
      <c r="N144" s="14"/>
    </row>
    <row r="145" ht="20.05" customHeight="1">
      <c r="A145" s="50"/>
      <c r="B145" s="51"/>
      <c r="C145" s="26"/>
      <c r="D145" s="26"/>
      <c r="E145" s="26"/>
      <c r="F145" s="26"/>
      <c r="G145" s="27"/>
      <c r="H145" s="28"/>
      <c r="I145" s="28"/>
      <c r="J145" s="27"/>
      <c r="K145" s="12"/>
      <c r="L145" s="13"/>
      <c r="M145" s="13"/>
      <c r="N145" s="14"/>
    </row>
    <row r="146" ht="20.05" customHeight="1">
      <c r="A146" s="50"/>
      <c r="B146" s="51"/>
      <c r="C146" s="26"/>
      <c r="D146" s="26"/>
      <c r="E146" s="26"/>
      <c r="F146" s="26"/>
      <c r="G146" s="27"/>
      <c r="H146" s="28"/>
      <c r="I146" s="28"/>
      <c r="J146" s="27"/>
      <c r="K146" s="12"/>
      <c r="L146" s="13"/>
      <c r="M146" s="13"/>
      <c r="N146" s="14"/>
    </row>
    <row r="147" ht="20.05" customHeight="1">
      <c r="A147" s="50"/>
      <c r="B147" s="51"/>
      <c r="C147" s="26"/>
      <c r="D147" s="26"/>
      <c r="E147" s="26"/>
      <c r="F147" s="26"/>
      <c r="G147" s="27"/>
      <c r="H147" s="28"/>
      <c r="I147" s="28"/>
      <c r="J147" s="27"/>
      <c r="K147" s="12"/>
      <c r="L147" s="13"/>
      <c r="M147" s="13"/>
      <c r="N147" s="14"/>
    </row>
    <row r="148" ht="20.05" customHeight="1">
      <c r="A148" s="50"/>
      <c r="B148" s="51"/>
      <c r="C148" s="26"/>
      <c r="D148" s="26"/>
      <c r="E148" s="26"/>
      <c r="F148" s="26"/>
      <c r="G148" s="27"/>
      <c r="H148" s="28"/>
      <c r="I148" s="28"/>
      <c r="J148" s="27"/>
      <c r="K148" s="12"/>
      <c r="L148" s="13"/>
      <c r="M148" s="13"/>
      <c r="N148" s="14"/>
    </row>
    <row r="149" ht="20.05" customHeight="1">
      <c r="A149" s="50"/>
      <c r="B149" s="51"/>
      <c r="C149" s="26"/>
      <c r="D149" s="26"/>
      <c r="E149" s="26"/>
      <c r="F149" s="26"/>
      <c r="G149" s="27"/>
      <c r="H149" s="28"/>
      <c r="I149" s="28"/>
      <c r="J149" s="27"/>
      <c r="K149" s="12"/>
      <c r="L149" s="13"/>
      <c r="M149" s="13"/>
      <c r="N149" s="14"/>
    </row>
    <row r="150" ht="20.05" customHeight="1">
      <c r="A150" s="50"/>
      <c r="B150" s="51"/>
      <c r="C150" s="26"/>
      <c r="D150" s="26"/>
      <c r="E150" s="26"/>
      <c r="F150" s="26"/>
      <c r="G150" s="27"/>
      <c r="H150" s="28"/>
      <c r="I150" s="28"/>
      <c r="J150" s="27"/>
      <c r="K150" s="12"/>
      <c r="L150" s="13"/>
      <c r="M150" s="13"/>
      <c r="N150" s="14"/>
    </row>
    <row r="151" ht="20.05" customHeight="1">
      <c r="A151" s="50"/>
      <c r="B151" s="51"/>
      <c r="C151" s="26"/>
      <c r="D151" s="26"/>
      <c r="E151" s="26"/>
      <c r="F151" s="26"/>
      <c r="G151" s="27"/>
      <c r="H151" s="28"/>
      <c r="I151" s="28"/>
      <c r="J151" s="27"/>
      <c r="K151" s="12"/>
      <c r="L151" s="13"/>
      <c r="M151" s="13"/>
      <c r="N151" s="14"/>
    </row>
    <row r="152" ht="20.05" customHeight="1">
      <c r="A152" s="50"/>
      <c r="B152" s="51"/>
      <c r="C152" s="26"/>
      <c r="D152" s="26"/>
      <c r="E152" s="26"/>
      <c r="F152" s="26"/>
      <c r="G152" s="27"/>
      <c r="H152" s="28"/>
      <c r="I152" s="28"/>
      <c r="J152" s="27"/>
      <c r="K152" s="12"/>
      <c r="L152" s="13"/>
      <c r="M152" s="13"/>
      <c r="N152" s="14"/>
    </row>
    <row r="153" ht="20.05" customHeight="1">
      <c r="A153" s="50"/>
      <c r="B153" s="51"/>
      <c r="C153" s="26"/>
      <c r="D153" s="26"/>
      <c r="E153" s="26"/>
      <c r="F153" s="26"/>
      <c r="G153" s="27"/>
      <c r="H153" s="28"/>
      <c r="I153" s="28"/>
      <c r="J153" s="27"/>
      <c r="K153" s="12"/>
      <c r="L153" s="13"/>
      <c r="M153" s="13"/>
      <c r="N153" s="14"/>
    </row>
    <row r="154" ht="20.05" customHeight="1">
      <c r="A154" s="50"/>
      <c r="B154" s="51"/>
      <c r="C154" s="26"/>
      <c r="D154" s="26"/>
      <c r="E154" s="26"/>
      <c r="F154" s="26"/>
      <c r="G154" s="27"/>
      <c r="H154" s="28"/>
      <c r="I154" s="28"/>
      <c r="J154" s="27"/>
      <c r="K154" s="12"/>
      <c r="L154" s="13"/>
      <c r="M154" s="13"/>
      <c r="N154" s="14"/>
    </row>
    <row r="155" ht="20.05" customHeight="1">
      <c r="A155" s="50"/>
      <c r="B155" s="51"/>
      <c r="C155" s="26"/>
      <c r="D155" s="26"/>
      <c r="E155" s="26"/>
      <c r="F155" s="26"/>
      <c r="G155" s="27"/>
      <c r="H155" s="28"/>
      <c r="I155" s="28"/>
      <c r="J155" s="27"/>
      <c r="K155" s="12"/>
      <c r="L155" s="13"/>
      <c r="M155" s="13"/>
      <c r="N155" s="14"/>
    </row>
    <row r="156" ht="20.05" customHeight="1">
      <c r="A156" s="50"/>
      <c r="B156" s="51"/>
      <c r="C156" s="26"/>
      <c r="D156" s="26"/>
      <c r="E156" s="26"/>
      <c r="F156" s="26"/>
      <c r="G156" s="27"/>
      <c r="H156" s="28"/>
      <c r="I156" s="28"/>
      <c r="J156" s="27"/>
      <c r="K156" s="12"/>
      <c r="L156" s="13"/>
      <c r="M156" s="13"/>
      <c r="N156" s="14"/>
    </row>
    <row r="157" ht="20.05" customHeight="1">
      <c r="A157" s="50"/>
      <c r="B157" s="51"/>
      <c r="C157" s="26"/>
      <c r="D157" s="26"/>
      <c r="E157" s="26"/>
      <c r="F157" s="26"/>
      <c r="G157" s="27"/>
      <c r="H157" s="28"/>
      <c r="I157" s="28"/>
      <c r="J157" s="27"/>
      <c r="K157" s="12"/>
      <c r="L157" s="13"/>
      <c r="M157" s="13"/>
      <c r="N157" s="14"/>
    </row>
    <row r="158" ht="20.05" customHeight="1">
      <c r="A158" s="50"/>
      <c r="B158" s="51"/>
      <c r="C158" s="26"/>
      <c r="D158" s="26"/>
      <c r="E158" s="26"/>
      <c r="F158" s="26"/>
      <c r="G158" s="27"/>
      <c r="H158" s="28"/>
      <c r="I158" s="28"/>
      <c r="J158" s="27"/>
      <c r="K158" s="12"/>
      <c r="L158" s="13"/>
      <c r="M158" s="13"/>
      <c r="N158" s="14"/>
    </row>
    <row r="159" ht="20.05" customHeight="1">
      <c r="A159" s="52"/>
      <c r="B159" s="53"/>
      <c r="C159" s="54"/>
      <c r="D159" s="54"/>
      <c r="E159" s="54"/>
      <c r="F159" s="26"/>
      <c r="G159" s="27"/>
      <c r="H159" s="28"/>
      <c r="I159" s="28"/>
      <c r="J159" s="27"/>
      <c r="K159" s="12"/>
      <c r="L159" s="13"/>
      <c r="M159" s="13"/>
      <c r="N159" s="14"/>
    </row>
    <row r="160" ht="20.05" customHeight="1">
      <c r="A160" s="52"/>
      <c r="B160" s="53"/>
      <c r="C160" s="54"/>
      <c r="D160" s="54"/>
      <c r="E160" s="54"/>
      <c r="F160" s="26"/>
      <c r="G160" s="27"/>
      <c r="H160" s="28"/>
      <c r="I160" s="28"/>
      <c r="J160" s="27"/>
      <c r="K160" s="12"/>
      <c r="L160" s="13"/>
      <c r="M160" s="13"/>
      <c r="N160" s="14"/>
    </row>
    <row r="161" ht="20.05" customHeight="1">
      <c r="A161" s="52"/>
      <c r="B161" s="53"/>
      <c r="C161" s="54"/>
      <c r="D161" s="54"/>
      <c r="E161" s="54"/>
      <c r="F161" s="26"/>
      <c r="G161" s="27"/>
      <c r="H161" s="28"/>
      <c r="I161" s="28"/>
      <c r="J161" s="27"/>
      <c r="K161" s="12"/>
      <c r="L161" s="13"/>
      <c r="M161" s="13"/>
      <c r="N161" s="14"/>
    </row>
    <row r="162" ht="20.05" customHeight="1">
      <c r="A162" s="52"/>
      <c r="B162" s="53"/>
      <c r="C162" s="54"/>
      <c r="D162" s="54"/>
      <c r="E162" s="54"/>
      <c r="F162" s="26"/>
      <c r="G162" s="27"/>
      <c r="H162" s="28"/>
      <c r="I162" s="28"/>
      <c r="J162" s="27"/>
      <c r="K162" s="12"/>
      <c r="L162" s="13"/>
      <c r="M162" s="13"/>
      <c r="N162" s="14"/>
    </row>
    <row r="163" ht="20.05" customHeight="1">
      <c r="A163" s="52"/>
      <c r="B163" s="53"/>
      <c r="C163" s="54"/>
      <c r="D163" s="54"/>
      <c r="E163" s="54"/>
      <c r="F163" s="26"/>
      <c r="G163" s="27"/>
      <c r="H163" s="28"/>
      <c r="I163" s="28"/>
      <c r="J163" s="27"/>
      <c r="K163" s="12"/>
      <c r="L163" s="13"/>
      <c r="M163" s="13"/>
      <c r="N163" s="14"/>
    </row>
    <row r="164" ht="20.05" customHeight="1">
      <c r="A164" s="52"/>
      <c r="B164" s="53"/>
      <c r="C164" s="54"/>
      <c r="D164" s="54"/>
      <c r="E164" s="54"/>
      <c r="F164" s="26"/>
      <c r="G164" s="27"/>
      <c r="H164" s="28"/>
      <c r="I164" s="28"/>
      <c r="J164" s="27"/>
      <c r="K164" s="12"/>
      <c r="L164" s="13"/>
      <c r="M164" s="13"/>
      <c r="N164" s="14"/>
    </row>
    <row r="165" ht="20.05" customHeight="1">
      <c r="A165" s="52"/>
      <c r="B165" s="53"/>
      <c r="C165" s="54"/>
      <c r="D165" s="54"/>
      <c r="E165" s="54"/>
      <c r="F165" s="26"/>
      <c r="G165" s="27"/>
      <c r="H165" s="28"/>
      <c r="I165" s="28"/>
      <c r="J165" s="27"/>
      <c r="K165" s="12"/>
      <c r="L165" s="13"/>
      <c r="M165" s="13"/>
      <c r="N165" s="14"/>
    </row>
    <row r="166" ht="20.05" customHeight="1">
      <c r="A166" s="52"/>
      <c r="B166" s="53"/>
      <c r="C166" s="54"/>
      <c r="D166" s="54"/>
      <c r="E166" s="54"/>
      <c r="F166" s="26"/>
      <c r="G166" s="27"/>
      <c r="H166" s="28"/>
      <c r="I166" s="28"/>
      <c r="J166" s="27"/>
      <c r="K166" s="12"/>
      <c r="L166" s="13"/>
      <c r="M166" s="13"/>
      <c r="N166" s="14"/>
    </row>
    <row r="167" ht="20.05" customHeight="1">
      <c r="A167" s="52"/>
      <c r="B167" s="53"/>
      <c r="C167" s="54"/>
      <c r="D167" s="54"/>
      <c r="E167" s="54"/>
      <c r="F167" s="26"/>
      <c r="G167" s="27"/>
      <c r="H167" s="28"/>
      <c r="I167" s="28"/>
      <c r="J167" s="27"/>
      <c r="K167" s="12"/>
      <c r="L167" s="13"/>
      <c r="M167" s="13"/>
      <c r="N167" s="14"/>
    </row>
    <row r="168" ht="20.05" customHeight="1">
      <c r="A168" s="52"/>
      <c r="B168" s="53"/>
      <c r="C168" s="54"/>
      <c r="D168" s="54"/>
      <c r="E168" s="54"/>
      <c r="F168" s="26"/>
      <c r="G168" s="27"/>
      <c r="H168" s="28"/>
      <c r="I168" s="28"/>
      <c r="J168" s="27"/>
      <c r="K168" s="12"/>
      <c r="L168" s="13"/>
      <c r="M168" s="13"/>
      <c r="N168" s="14"/>
    </row>
    <row r="169" ht="20.05" customHeight="1">
      <c r="A169" s="52"/>
      <c r="B169" s="53"/>
      <c r="C169" s="54"/>
      <c r="D169" s="54"/>
      <c r="E169" s="54"/>
      <c r="F169" s="26"/>
      <c r="G169" s="27"/>
      <c r="H169" s="28"/>
      <c r="I169" s="28"/>
      <c r="J169" s="27"/>
      <c r="K169" s="12"/>
      <c r="L169" s="13"/>
      <c r="M169" s="13"/>
      <c r="N169" s="14"/>
    </row>
    <row r="170" ht="20.05" customHeight="1">
      <c r="A170" s="52"/>
      <c r="B170" s="53"/>
      <c r="C170" s="54"/>
      <c r="D170" s="54"/>
      <c r="E170" s="54"/>
      <c r="F170" s="26"/>
      <c r="G170" s="27"/>
      <c r="H170" s="28"/>
      <c r="I170" s="28"/>
      <c r="J170" s="27"/>
      <c r="K170" s="12"/>
      <c r="L170" s="13"/>
      <c r="M170" s="13"/>
      <c r="N170" s="14"/>
    </row>
    <row r="171" ht="20.05" customHeight="1">
      <c r="A171" s="52"/>
      <c r="B171" s="53"/>
      <c r="C171" s="54"/>
      <c r="D171" s="54"/>
      <c r="E171" s="54"/>
      <c r="F171" s="26"/>
      <c r="G171" s="27"/>
      <c r="H171" s="28"/>
      <c r="I171" s="28"/>
      <c r="J171" s="27"/>
      <c r="K171" s="12"/>
      <c r="L171" s="13"/>
      <c r="M171" s="13"/>
      <c r="N171" s="14"/>
    </row>
    <row r="172" ht="20.05" customHeight="1">
      <c r="A172" s="52"/>
      <c r="B172" s="53"/>
      <c r="C172" s="54"/>
      <c r="D172" s="54"/>
      <c r="E172" s="54"/>
      <c r="F172" s="26"/>
      <c r="G172" s="27"/>
      <c r="H172" s="28"/>
      <c r="I172" s="28"/>
      <c r="J172" s="27"/>
      <c r="K172" s="12"/>
      <c r="L172" s="13"/>
      <c r="M172" s="13"/>
      <c r="N172" s="14"/>
    </row>
    <row r="173" ht="20.05" customHeight="1">
      <c r="A173" s="52"/>
      <c r="B173" s="53"/>
      <c r="C173" s="54"/>
      <c r="D173" s="54"/>
      <c r="E173" s="54"/>
      <c r="F173" s="26"/>
      <c r="G173" s="27"/>
      <c r="H173" s="28"/>
      <c r="I173" s="28"/>
      <c r="J173" s="27"/>
      <c r="K173" s="12"/>
      <c r="L173" s="13"/>
      <c r="M173" s="13"/>
      <c r="N173" s="14"/>
    </row>
    <row r="174" ht="20.05" customHeight="1">
      <c r="A174" s="52"/>
      <c r="B174" s="53"/>
      <c r="C174" s="54"/>
      <c r="D174" s="54"/>
      <c r="E174" s="54"/>
      <c r="F174" s="26"/>
      <c r="G174" s="27"/>
      <c r="H174" s="28"/>
      <c r="I174" s="28"/>
      <c r="J174" s="27"/>
      <c r="K174" s="12"/>
      <c r="L174" s="13"/>
      <c r="M174" s="13"/>
      <c r="N174" s="14"/>
    </row>
    <row r="175" ht="20.05" customHeight="1">
      <c r="A175" s="52"/>
      <c r="B175" s="53"/>
      <c r="C175" s="54"/>
      <c r="D175" s="54"/>
      <c r="E175" s="54"/>
      <c r="F175" s="26"/>
      <c r="G175" s="27"/>
      <c r="H175" s="28"/>
      <c r="I175" s="28"/>
      <c r="J175" s="27"/>
      <c r="K175" s="12"/>
      <c r="L175" s="13"/>
      <c r="M175" s="13"/>
      <c r="N175" s="14"/>
    </row>
    <row r="176" ht="20.05" customHeight="1">
      <c r="A176" s="52"/>
      <c r="B176" s="53"/>
      <c r="C176" s="54"/>
      <c r="D176" s="54"/>
      <c r="E176" s="54"/>
      <c r="F176" s="26"/>
      <c r="G176" s="27"/>
      <c r="H176" s="28"/>
      <c r="I176" s="28"/>
      <c r="J176" s="27"/>
      <c r="K176" s="12"/>
      <c r="L176" s="13"/>
      <c r="M176" s="13"/>
      <c r="N176" s="14"/>
    </row>
    <row r="177" ht="20.05" customHeight="1">
      <c r="A177" s="52"/>
      <c r="B177" s="53"/>
      <c r="C177" s="54"/>
      <c r="D177" s="54"/>
      <c r="E177" s="54"/>
      <c r="F177" s="26"/>
      <c r="G177" s="27"/>
      <c r="H177" s="28"/>
      <c r="I177" s="28"/>
      <c r="J177" s="27"/>
      <c r="K177" s="12"/>
      <c r="L177" s="13"/>
      <c r="M177" s="13"/>
      <c r="N177" s="14"/>
    </row>
    <row r="178" ht="20.05" customHeight="1">
      <c r="A178" s="52"/>
      <c r="B178" s="53"/>
      <c r="C178" s="54"/>
      <c r="D178" s="54"/>
      <c r="E178" s="54"/>
      <c r="F178" s="26"/>
      <c r="G178" s="27"/>
      <c r="H178" s="28"/>
      <c r="I178" s="28"/>
      <c r="J178" s="27"/>
      <c r="K178" s="12"/>
      <c r="L178" s="13"/>
      <c r="M178" s="13"/>
      <c r="N178" s="14"/>
    </row>
    <row r="179" ht="20.05" customHeight="1">
      <c r="A179" s="52"/>
      <c r="B179" s="53"/>
      <c r="C179" s="54"/>
      <c r="D179" s="54"/>
      <c r="E179" s="54"/>
      <c r="F179" s="26"/>
      <c r="G179" s="27"/>
      <c r="H179" s="28"/>
      <c r="I179" s="28"/>
      <c r="J179" s="27"/>
      <c r="K179" s="12"/>
      <c r="L179" s="13"/>
      <c r="M179" s="13"/>
      <c r="N179" s="14"/>
    </row>
    <row r="180" ht="20.05" customHeight="1">
      <c r="A180" s="52"/>
      <c r="B180" s="53"/>
      <c r="C180" s="54"/>
      <c r="D180" s="54"/>
      <c r="E180" s="54"/>
      <c r="F180" s="26"/>
      <c r="G180" s="27"/>
      <c r="H180" s="28"/>
      <c r="I180" s="28"/>
      <c r="J180" s="27"/>
      <c r="K180" s="12"/>
      <c r="L180" s="13"/>
      <c r="M180" s="13"/>
      <c r="N180" s="14"/>
    </row>
    <row r="181" ht="20.05" customHeight="1">
      <c r="A181" s="52"/>
      <c r="B181" s="53"/>
      <c r="C181" s="54"/>
      <c r="D181" s="54"/>
      <c r="E181" s="54"/>
      <c r="F181" s="26"/>
      <c r="G181" s="27"/>
      <c r="H181" s="28"/>
      <c r="I181" s="28"/>
      <c r="J181" s="27"/>
      <c r="K181" s="12"/>
      <c r="L181" s="13"/>
      <c r="M181" s="13"/>
      <c r="N181" s="14"/>
    </row>
    <row r="182" ht="20.05" customHeight="1">
      <c r="A182" s="52"/>
      <c r="B182" s="53"/>
      <c r="C182" s="54"/>
      <c r="D182" s="54"/>
      <c r="E182" s="54"/>
      <c r="F182" s="26"/>
      <c r="G182" s="27"/>
      <c r="H182" s="28"/>
      <c r="I182" s="28"/>
      <c r="J182" s="27"/>
      <c r="K182" s="12"/>
      <c r="L182" s="13"/>
      <c r="M182" s="13"/>
      <c r="N182" s="14"/>
    </row>
    <row r="183" ht="20.05" customHeight="1">
      <c r="A183" s="52"/>
      <c r="B183" s="53"/>
      <c r="C183" s="54"/>
      <c r="D183" s="54"/>
      <c r="E183" s="54"/>
      <c r="F183" s="26"/>
      <c r="G183" s="27"/>
      <c r="H183" s="28"/>
      <c r="I183" s="28"/>
      <c r="J183" s="27"/>
      <c r="K183" s="12"/>
      <c r="L183" s="13"/>
      <c r="M183" s="13"/>
      <c r="N183" s="14"/>
    </row>
    <row r="184" ht="20.05" customHeight="1">
      <c r="A184" s="52"/>
      <c r="B184" s="53"/>
      <c r="C184" s="54"/>
      <c r="D184" s="54"/>
      <c r="E184" s="54"/>
      <c r="F184" s="26"/>
      <c r="G184" s="27"/>
      <c r="H184" s="28"/>
      <c r="I184" s="28"/>
      <c r="J184" s="27"/>
      <c r="K184" s="12"/>
      <c r="L184" s="13"/>
      <c r="M184" s="13"/>
      <c r="N184" s="14"/>
    </row>
    <row r="185" ht="20.05" customHeight="1">
      <c r="A185" s="52"/>
      <c r="B185" s="53"/>
      <c r="C185" s="54"/>
      <c r="D185" s="54"/>
      <c r="E185" s="54"/>
      <c r="F185" s="26"/>
      <c r="G185" s="27"/>
      <c r="H185" s="28"/>
      <c r="I185" s="28"/>
      <c r="J185" s="27"/>
      <c r="K185" s="55"/>
      <c r="L185" s="56"/>
      <c r="M185" s="56"/>
      <c r="N185" s="57"/>
    </row>
  </sheetData>
  <mergeCells count="4">
    <mergeCell ref="A1:J1"/>
    <mergeCell ref="J45:J51"/>
    <mergeCell ref="J73:J94"/>
    <mergeCell ref="J104:J123"/>
  </mergeCells>
  <conditionalFormatting sqref="H1:I185">
    <cfRule type="cellIs" dxfId="0" priority="1" operator="lessThan" stopIfTrue="1">
      <formula>0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